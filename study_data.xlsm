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0AA26552-5E96-47F2-8525-4E059ED529AE}"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Sheet2" sheetId="8" r:id="rId4"/>
    <sheet name="Fall-2019" sheetId="7" r:id="rId5"/>
    <sheet name="Sheet1" sheetId="6" r:id="rId6"/>
    <sheet name="IS445" sheetId="3" r:id="rId7"/>
    <sheet name="is380" sheetId="4" r:id="rId8"/>
  </sheets>
  <definedNames>
    <definedName name="_xlnm._FilterDatabase" localSheetId="4" hidden="1">'Fall-2019'!$A$1:$D$401</definedName>
    <definedName name="_xlnm._FilterDatabase" localSheetId="2" hidden="1">'HRM360'!$A$1:$D$272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62" i="5" l="1"/>
  <c r="D272" i="5"/>
  <c r="D261" i="5"/>
  <c r="D263" i="5"/>
  <c r="D264" i="5"/>
  <c r="D265" i="5"/>
  <c r="D266" i="5"/>
  <c r="D267" i="5"/>
  <c r="D268" i="5"/>
  <c r="D269" i="5"/>
  <c r="D270" i="5"/>
  <c r="D271" i="5"/>
  <c r="C2" i="6"/>
  <c r="D2" i="6" s="1"/>
  <c r="C3" i="6"/>
  <c r="D3" i="6" s="1"/>
  <c r="C4" i="6"/>
  <c r="C5" i="6"/>
  <c r="D5" i="6" s="1"/>
  <c r="C6" i="6"/>
  <c r="D6" i="6" s="1"/>
  <c r="C7" i="6"/>
  <c r="D7" i="6" s="1"/>
  <c r="C1" i="6"/>
  <c r="D1" i="6" s="1"/>
  <c r="D4" i="6"/>
  <c r="D249" i="5" l="1"/>
  <c r="D250" i="5"/>
  <c r="D251" i="5"/>
  <c r="D252" i="5"/>
  <c r="D253" i="5"/>
  <c r="D254" i="5"/>
  <c r="D255" i="5"/>
  <c r="D256" i="5"/>
  <c r="D257" i="5"/>
  <c r="D258" i="5"/>
  <c r="D259" i="5"/>
  <c r="D260" i="5"/>
  <c r="D248" i="5"/>
  <c r="D247" i="5"/>
  <c r="D245" i="5"/>
  <c r="D246" i="5"/>
  <c r="D242" i="5"/>
  <c r="D243" i="5"/>
  <c r="D244" i="5"/>
  <c r="D241" i="5" l="1"/>
  <c r="D240" i="5"/>
  <c r="D239" i="5"/>
  <c r="D238" i="5"/>
  <c r="D237" i="5"/>
  <c r="D236" i="5"/>
  <c r="D235" i="5"/>
  <c r="D234" i="5"/>
  <c r="D233" i="5"/>
  <c r="D232" i="5"/>
  <c r="D231" i="5"/>
  <c r="D230" i="5"/>
  <c r="D229" i="5"/>
  <c r="D228" i="5"/>
  <c r="D227" i="5"/>
  <c r="D226" i="5"/>
  <c r="D225" i="5"/>
  <c r="D224" i="5"/>
  <c r="D222" i="5"/>
  <c r="D223"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<sst xmlns="http://schemas.openxmlformats.org/spreadsheetml/2006/main" count="2227" uniqueCount="1075">
  <si>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</si>
  <si>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</si>
  <si>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</si>
  <si>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</si>
  <si>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</si>
  <si>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</si>
  <si>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</si>
  <si>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</si>
  <si>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</si>
  <si>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</si>
  <si>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</si>
  <si>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</si>
  <si>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</si>
  <si>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</si>
  <si>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</si>
  <si>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</si>
  <si>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</si>
  <si>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</si>
  <si>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</si>
  <si>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</si>
  <si>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</si>
  <si>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</si>
  <si>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</si>
  <si>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</si>
  <si>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</si>
  <si>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</si>
  <si>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</si>
  <si>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</si>
  <si>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</si>
  <si>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</si>
  <si>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</si>
  <si>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</si>
  <si>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</si>
  <si>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</si>
  <si>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</si>
  <si>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</si>
  <si>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</si>
  <si>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</si>
  <si>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</si>
  <si>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</si>
  <si>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</si>
  <si>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</si>
  <si>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</si>
  <si>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</si>
  <si>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</si>
  <si>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</si>
  <si>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</si>
  <si>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</si>
  <si>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</si>
  <si>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</si>
  <si>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</si>
  <si>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</si>
  <si>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</si>
  <si>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</si>
  <si>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</si>
  <si>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</si>
  <si>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</si>
  <si>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</si>
  <si>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</si>
  <si>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</si>
  <si>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</si>
  <si>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</si>
  <si>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</si>
  <si>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</si>
  <si>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</si>
  <si>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</si>
  <si>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</si>
  <si>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</si>
  <si>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</si>
  <si>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</si>
  <si>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</si>
  <si>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</si>
  <si>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</si>
  <si>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</si>
  <si>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</si>
  <si>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</si>
  <si>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</si>
  <si>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</si>
  <si>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</si>
  <si>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</si>
  <si>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</si>
  <si>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</si>
  <si>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</si>
  <si>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</si>
  <si>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</si>
  <si>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</si>
  <si>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</si>
  <si>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</si>
  <si>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</si>
  <si>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</si>
  <si>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</si>
  <si>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</si>
  <si>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</si>
  <si>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</si>
  <si>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</si>
  <si>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</si>
  <si>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</si>
  <si>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</si>
  <si>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</si>
  <si>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</si>
  <si>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</si>
  <si>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</si>
  <si>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</si>
  <si>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</si>
  <si>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</si>
  <si>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</si>
  <si>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</si>
  <si>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</si>
  <si>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</si>
  <si>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</si>
  <si>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</si>
  <si>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</si>
  <si>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</si>
  <si>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</si>
  <si>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</si>
  <si>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</si>
  <si>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</si>
  <si>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</si>
  <si>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</si>
  <si>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</si>
  <si>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</si>
  <si>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</si>
  <si>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</si>
  <si>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</si>
  <si>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</si>
  <si>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</si>
  <si>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</si>
  <si>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</si>
  <si>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</si>
  <si>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</si>
  <si>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</si>
  <si>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</si>
  <si>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</si>
  <si>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</si>
  <si>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</si>
  <si>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</si>
  <si>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</si>
  <si>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</si>
  <si>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</si>
  <si>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</si>
  <si>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</si>
  <si>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</si>
  <si>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</si>
  <si>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</si>
  <si>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</si>
  <si>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</si>
  <si>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</si>
  <si>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</si>
  <si>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</si>
  <si>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</si>
  <si>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</si>
  <si>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</si>
  <si>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</si>
  <si>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</si>
  <si>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</si>
  <si>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</si>
  <si>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</si>
  <si>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</si>
  <si>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</si>
  <si>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</si>
  <si>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</si>
  <si>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</si>
  <si>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</si>
  <si>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</si>
  <si>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</si>
  <si>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</si>
  <si>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</si>
  <si>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</si>
  <si>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</si>
  <si>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</si>
  <si>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</si>
  <si>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</si>
  <si>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</si>
  <si>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</si>
  <si>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</si>
  <si>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</si>
  <si>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</si>
  <si>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</si>
  <si>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</si>
  <si>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</si>
  <si>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</si>
  <si>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</si>
  <si>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</si>
  <si>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</si>
  <si>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</si>
  <si>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</si>
  <si>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</si>
  <si>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</si>
  <si>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</si>
  <si>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</si>
  <si>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</si>
  <si>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</si>
  <si>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</si>
  <si>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</si>
  <si>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</si>
  <si>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</si>
  <si>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</si>
  <si>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</si>
  <si>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</si>
  <si>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</si>
  <si>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</si>
  <si>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</si>
  <si>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</si>
  <si>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</si>
  <si>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</si>
  <si>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</si>
  <si>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</si>
  <si>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</si>
  <si>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</si>
  <si>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</si>
  <si>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</si>
  <si>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</si>
  <si>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</si>
  <si>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</si>
  <si>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</si>
  <si>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</si>
  <si>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</si>
  <si>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</si>
  <si>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</si>
  <si>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</si>
  <si>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</si>
  <si>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</si>
  <si>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</si>
  <si>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</si>
  <si>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</si>
  <si>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</si>
  <si>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</si>
  <si>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</si>
  <si>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</si>
  <si>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</si>
  <si>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</si>
  <si>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</si>
  <si>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</si>
  <si>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</si>
  <si>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</si>
  <si>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</si>
  <si>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</si>
  <si>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</si>
  <si>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</si>
  <si>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</si>
  <si>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</si>
  <si>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</si>
  <si>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</si>
  <si>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</si>
  <si>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</si>
  <si>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</si>
  <si>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</si>
  <si>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</si>
  <si>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</si>
  <si>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</si>
  <si>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</si>
  <si>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</si>
  <si>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</si>
  <si>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</si>
  <si>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</si>
  <si>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</si>
  <si>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</si>
  <si>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</si>
  <si>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</si>
  <si>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</si>
  <si>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</si>
  <si>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</si>
  <si>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</si>
  <si>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</si>
  <si>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</si>
  <si>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</si>
  <si>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</si>
  <si>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</si>
  <si>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</si>
  <si>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</si>
  <si>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</si>
  <si>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</si>
  <si>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</si>
  <si>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</si>
  <si>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</si>
  <si>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</si>
  <si>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</si>
  <si>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</si>
  <si>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</si>
  <si>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</si>
  <si>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</si>
  <si>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</si>
  <si>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</si>
  <si>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</si>
  <si>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</si>
  <si>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</si>
  <si>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</si>
  <si>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</si>
  <si>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</si>
  <si>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</si>
  <si>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</si>
  <si>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</si>
  <si>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</si>
  <si>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</si>
  <si>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</si>
  <si>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</si>
  <si>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</si>
  <si>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</si>
  <si>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</si>
  <si>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</si>
  <si>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</si>
  <si>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</si>
  <si>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</si>
  <si>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</si>
  <si>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</si>
  <si>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</si>
  <si>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</si>
  <si>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</si>
  <si>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</si>
  <si>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</si>
  <si>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</si>
  <si>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</si>
  <si>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</si>
  <si>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</si>
  <si>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</si>
  <si>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</si>
  <si>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</si>
  <si>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</si>
  <si>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</si>
  <si>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</si>
  <si>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</si>
  <si>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</si>
  <si>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</si>
  <si>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</si>
  <si>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</si>
  <si>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</si>
  <si>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</si>
  <si>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</si>
  <si>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</si>
  <si>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</si>
  <si>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</si>
  <si>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</si>
  <si>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</si>
  <si>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</si>
  <si>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</si>
  <si>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</si>
  <si>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</si>
  <si>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</si>
  <si>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</si>
  <si>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</si>
  <si>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</si>
  <si>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</si>
  <si>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</si>
  <si>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</si>
  <si>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</si>
  <si>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</si>
  <si>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</si>
  <si>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</si>
  <si>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</si>
  <si>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</si>
  <si>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</si>
  <si>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</si>
  <si>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</si>
  <si>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</si>
  <si>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</si>
  <si>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</si>
  <si>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</si>
  <si>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</si>
  <si>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</si>
  <si>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</si>
  <si>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</si>
  <si>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</si>
  <si>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</si>
  <si>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</si>
  <si>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</si>
  <si>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</si>
  <si>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</si>
  <si>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</si>
  <si>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</si>
  <si>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</si>
  <si>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</si>
  <si>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</si>
  <si>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</si>
  <si>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</si>
  <si>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</si>
  <si>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</si>
  <si>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</si>
  <si>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</si>
  <si>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</si>
  <si>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</si>
  <si>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</si>
  <si>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</si>
  <si>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</si>
  <si>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</si>
  <si>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</si>
  <si>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</si>
  <si>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</si>
  <si>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</si>
  <si>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</si>
  <si>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</si>
  <si>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</si>
  <si>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</si>
  <si>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</si>
  <si>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</si>
  <si>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</si>
  <si>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</si>
  <si>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</si>
  <si>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</si>
  <si>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</si>
  <si>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</si>
  <si>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</si>
  <si>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</si>
  <si>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</si>
  <si>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</si>
  <si>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</si>
  <si>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</si>
  <si>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</si>
  <si>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</si>
  <si>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</si>
  <si>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</si>
  <si>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</si>
  <si>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</si>
  <si>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</si>
  <si>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</si>
  <si>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</si>
  <si>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</si>
  <si>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</si>
  <si>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</si>
  <si>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</si>
  <si>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</si>
  <si>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</si>
  <si>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</si>
  <si>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</si>
  <si>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</si>
  <si>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</si>
  <si>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</si>
  <si>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</si>
  <si>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</si>
  <si>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</si>
  <si>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</si>
  <si>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</si>
  <si>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</si>
  <si>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</si>
  <si>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</si>
  <si>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</si>
  <si>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</si>
  <si>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</si>
  <si>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</si>
  <si>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</si>
  <si>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</si>
  <si>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</si>
  <si>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</si>
  <si>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</si>
  <si>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</si>
  <si>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</si>
  <si>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</si>
  <si>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</si>
  <si>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</si>
  <si>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</si>
  <si>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</si>
  <si>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</si>
  <si>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</si>
  <si>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</si>
  <si>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</si>
  <si>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</si>
  <si>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</si>
  <si>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</si>
  <si>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</si>
  <si>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</si>
  <si>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</si>
  <si>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</si>
  <si>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</si>
  <si>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</si>
  <si>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</si>
  <si>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</si>
  <si>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</si>
  <si>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</si>
  <si>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</si>
  <si>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</si>
  <si>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</si>
  <si>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</si>
  <si>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</si>
  <si>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</si>
  <si>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</si>
  <si>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</si>
  <si>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</si>
  <si>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</si>
  <si>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</si>
  <si>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</si>
  <si>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</si>
  <si>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</si>
  <si>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</si>
  <si>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</si>
  <si>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</si>
  <si>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</si>
  <si>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</si>
  <si>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</si>
  <si>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</si>
  <si>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</si>
  <si>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</si>
  <si>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</si>
  <si>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</si>
  <si>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</si>
  <si>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</si>
  <si>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</si>
  <si>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</si>
  <si>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</si>
  <si>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</si>
  <si>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</si>
  <si>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</si>
  <si>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</si>
  <si>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</si>
  <si>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</si>
  <si>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</si>
  <si>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</si>
  <si>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</si>
  <si>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</si>
  <si>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</si>
  <si>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</si>
  <si>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</si>
  <si>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</si>
  <si>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</si>
  <si>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</si>
  <si>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</si>
  <si>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</si>
  <si>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</si>
  <si>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</si>
  <si>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</si>
  <si>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</si>
  <si>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</si>
  <si>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</si>
  <si>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</si>
  <si>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</si>
  <si>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</si>
  <si>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</si>
  <si>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</si>
  <si>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</si>
  <si>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</si>
  <si>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</si>
  <si>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</si>
  <si>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</si>
  <si>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</si>
  <si>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</si>
  <si>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</si>
  <si>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</si>
  <si>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</si>
  <si>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</si>
  <si>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</si>
  <si>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</si>
  <si>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</si>
  <si>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</si>
  <si>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</si>
  <si>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</si>
  <si>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</si>
  <si>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</si>
  <si>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</si>
  <si>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</si>
  <si>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</si>
  <si>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</si>
  <si>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</si>
  <si>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</si>
  <si>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</si>
  <si>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</si>
  <si>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</si>
  <si>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</si>
  <si>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</si>
  <si>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</si>
  <si>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</si>
  <si>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</si>
  <si>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</si>
  <si>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</si>
  <si>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</si>
  <si>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</si>
  <si>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</si>
  <si>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</si>
  <si>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</si>
  <si>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</si>
  <si>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</si>
  <si>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</si>
  <si>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</si>
  <si>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</si>
  <si>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</si>
  <si>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</si>
  <si>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</si>
  <si>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</si>
  <si>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</si>
  <si>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</si>
  <si>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</si>
  <si>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</si>
  <si>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</si>
  <si>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</si>
  <si>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</si>
  <si>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</si>
  <si>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</si>
  <si>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</si>
  <si>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</si>
  <si>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</si>
  <si>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</si>
  <si>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</si>
  <si>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</si>
  <si>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</si>
  <si>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</si>
  <si>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</si>
  <si>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</si>
  <si>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</si>
  <si>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</si>
  <si>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</si>
  <si>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</si>
  <si>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</si>
  <si>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</si>
  <si>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</si>
  <si>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</si>
  <si>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</si>
  <si>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</si>
  <si>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</si>
  <si>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</si>
  <si>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</si>
  <si>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</si>
  <si>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</si>
  <si>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</si>
  <si>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</si>
  <si>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</si>
  <si>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</si>
  <si>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</si>
  <si>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</si>
  <si>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</si>
  <si>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</si>
  <si>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</si>
  <si>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</si>
  <si>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</si>
  <si>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</si>
  <si>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</si>
  <si>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</si>
  <si>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</si>
  <si>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</si>
  <si>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</si>
  <si>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</si>
  <si>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</si>
  <si>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</si>
  <si>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</si>
  <si>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</si>
  <si>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</si>
  <si>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</si>
  <si>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</si>
  <si>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</si>
  <si>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</si>
  <si>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</si>
  <si>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</si>
  <si>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</si>
  <si>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</si>
  <si>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</si>
  <si>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</si>
  <si>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</si>
  <si>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</si>
  <si>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</si>
  <si>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</si>
  <si>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</si>
  <si>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</si>
  <si>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</si>
  <si>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</si>
  <si>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</si>
  <si>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</si>
  <si>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</si>
  <si>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</si>
  <si>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</si>
  <si>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</si>
  <si>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</si>
  <si>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</si>
  <si>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</si>
  <si>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</si>
  <si>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</si>
  <si>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</si>
  <si>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</si>
  <si>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</si>
  <si>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</si>
  <si>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</si>
  <si>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</si>
  <si>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</si>
  <si>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</si>
  <si>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</si>
  <si>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</si>
  <si>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</si>
  <si>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</si>
  <si>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</si>
  <si>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</si>
  <si>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</si>
  <si>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</si>
  <si>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</si>
  <si>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</si>
  <si>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</si>
  <si>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</si>
  <si>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</si>
  <si>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</si>
  <si>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</si>
  <si>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</si>
  <si>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</si>
  <si>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</si>
  <si>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</si>
  <si>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</si>
  <si>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</si>
  <si>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</si>
  <si>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</si>
  <si>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</si>
  <si>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</si>
  <si>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</si>
  <si>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</si>
  <si>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</si>
  <si>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</si>
  <si>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</si>
  <si>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</si>
  <si>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</si>
  <si>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</si>
  <si>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</si>
  <si>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</si>
  <si>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</si>
  <si>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</si>
  <si>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</si>
  <si>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</si>
  <si>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</si>
  <si>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</si>
  <si>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</si>
  <si>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</si>
  <si>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</si>
  <si>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</si>
  <si>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</si>
  <si>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</si>
  <si>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</si>
  <si>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</si>
  <si>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</si>
  <si>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</si>
  <si>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</si>
  <si>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</si>
  <si>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</si>
  <si>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</si>
  <si>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</si>
  <si>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</si>
  <si>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</si>
  <si>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</si>
  <si>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</si>
  <si>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</si>
  <si>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</si>
  <si>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</si>
  <si>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</si>
  <si>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</si>
  <si>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</si>
  <si>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</si>
  <si>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</si>
  <si>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</si>
  <si>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</si>
  <si>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</si>
  <si>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</si>
  <si>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</si>
  <si>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</si>
  <si>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</si>
  <si>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</si>
  <si>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</si>
  <si>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</si>
  <si>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</si>
  <si>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</si>
  <si>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</si>
  <si>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</si>
  <si>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</si>
  <si>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</si>
  <si>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</si>
  <si>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</si>
  <si>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</si>
  <si>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</si>
  <si>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</si>
  <si>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</si>
  <si>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</si>
  <si>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</si>
  <si>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</si>
  <si>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</si>
  <si>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</si>
  <si>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</si>
  <si>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</si>
  <si>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</si>
  <si>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</si>
  <si>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</si>
  <si>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</si>
  <si>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</si>
  <si>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</si>
  <si>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</si>
  <si>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</si>
  <si>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</si>
  <si>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</si>
  <si>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</si>
  <si>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</si>
  <si>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</si>
  <si>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</si>
  <si>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</si>
  <si>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</si>
  <si>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</si>
  <si>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</si>
  <si>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</si>
  <si>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</si>
  <si>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</si>
  <si>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</si>
  <si>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</si>
  <si>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</si>
  <si>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</si>
  <si>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</si>
  <si>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</si>
  <si>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</si>
  <si>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</si>
  <si>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</si>
  <si>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</si>
  <si>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</si>
  <si>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</si>
  <si>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</si>
  <si>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</si>
  <si>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</si>
  <si>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</si>
  <si>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</si>
  <si>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</si>
  <si>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</si>
  <si>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</si>
  <si>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</si>
  <si>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</si>
  <si>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</si>
  <si>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</si>
  <si>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</si>
  <si>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</si>
  <si>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</si>
  <si>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</si>
  <si>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</si>
  <si>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</si>
  <si>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</si>
  <si>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</si>
  <si>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</si>
  <si>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</si>
  <si>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</si>
  <si>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</si>
  <si>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</si>
  <si>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</si>
  <si>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</si>
  <si>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</si>
  <si>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</si>
  <si>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</si>
  <si>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</si>
  <si>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</si>
  <si>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</si>
  <si>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</si>
  <si>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</si>
  <si>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</si>
  <si>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</si>
  <si>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</si>
  <si>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</si>
  <si>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</si>
  <si>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</si>
  <si>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</si>
  <si>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</si>
  <si>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</si>
  <si>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</si>
  <si>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</si>
  <si>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</si>
  <si>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</si>
  <si>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</si>
  <si>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</si>
  <si>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</si>
  <si>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</si>
  <si>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</si>
  <si>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</si>
  <si>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</si>
  <si>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</si>
  <si>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</si>
  <si>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</si>
  <si>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</si>
  <si>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</si>
  <si>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</si>
  <si>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</si>
  <si>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</si>
  <si>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</si>
  <si>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</si>
  <si>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</si>
  <si>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</si>
  <si>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</si>
  <si>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</si>
  <si>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</si>
  <si>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</si>
  <si>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</si>
  <si>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</si>
  <si>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</si>
  <si>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</si>
  <si>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</si>
  <si>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</si>
  <si>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</si>
  <si>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</si>
  <si>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</si>
  <si>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</si>
  <si>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</si>
  <si>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</si>
  <si>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</si>
  <si>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</si>
  <si>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</si>
  <si>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</si>
  <si>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</si>
  <si>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</si>
  <si>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</si>
  <si>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</si>
  <si>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</si>
  <si>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</si>
  <si>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</si>
  <si>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class='space'&gt;(1) A stimulus in the environment cues attention to a behavior&lt;p class='space'&gt;(2) Behavior occurs in response to a stimulus&lt;p class='space'&gt;(3) Outcomes are the consequences of our behavior </t>
  </si>
  <si>
    <t>&lt;p class='space'&gt;Discourage undesirable behaviors by giving negative consequences or withholding positive consequences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</si>
  <si>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</si>
  <si>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</si>
  <si>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class='space'&gt;Smart - an acronym for: &lt;p class='space'&gt;Specific&lt;p class='space'&gt;Measurable&lt;p class='space'&gt;Attainable&lt;p class='space'&gt;Results oriented&lt;p class='space'&gt;Time bound</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</si>
  <si>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</si>
  <si>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</si>
  <si>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</si>
  <si>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</si>
  <si>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</si>
  <si>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</si>
  <si>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</si>
  <si>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</si>
  <si>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</si>
  <si>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</si>
  <si>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</si>
  <si>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</si>
  <si>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</si>
  <si>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</si>
  <si>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</si>
  <si>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</si>
  <si>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</si>
  <si>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</si>
  <si>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 xml:space="preserve">&lt;p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</si>
  <si>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</si>
  <si>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</si>
  <si>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</si>
  <si>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&lt;p class='space'&gt;Enhances desirable behavior by giving positive consequences, or withholding negative ones</t>
  </si>
  <si>
    <t xml:space="preserve">&lt;p class='space'&gt;Extinction (Weakening a behavior by ignoring it or making sure it is not reinforced is referred to as extinction)&lt;p class='space'&gt;Punishment (give negative consequences or  withhold positive consequences)  </t>
  </si>
  <si>
    <t>&lt;p class='space'&gt;Social learning theory asserts that people observe others, and model their behavior accordingly; &lt;p class='space'&gt;Learning is enhanced when learners have high task-specific self-efficacy (which means they believe they can do something)</t>
  </si>
  <si>
    <t xml:space="preserve">&lt;p class='space'&gt;Successful past performance&lt;p class='space'&gt;Vicarious experience - (seeing others like us successfully completing similar work)  &lt;p class='space'&gt;Verbal persuasion (coaching, displaying confidence) </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</si>
  <si>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</si>
  <si>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</si>
  <si>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</si>
  <si>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</si>
  <si>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</si>
  <si>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</si>
  <si>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</si>
  <si>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</si>
  <si>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</si>
  <si>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</si>
  <si>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</si>
  <si>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</si>
  <si>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</si>
  <si>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class='space'&gt;Performance management (PM) is a set of processes and managerial behaviors that include:&lt;p class='space'&gt; (1) Defining, &lt;p class='space'&gt; (2) Monitoring, &lt;p class='space'&gt; (3) Measuring, evaluating, and &lt;p class='space'&gt; (4) Providing consequences for performance expectations.</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</si>
  <si>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</si>
  <si>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</si>
  <si>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</si>
  <si>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</si>
  <si>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</si>
  <si>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</si>
  <si>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</si>
  <si>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</si>
  <si>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Two foundational social processes that maintain team functioning:</t>
  </si>
  <si>
    <t>Groups and teams form through a number of phases as they resolve ambiguity in these issues:</t>
  </si>
  <si>
    <t>Team formation - Forming:</t>
  </si>
  <si>
    <t>Team formation - Storming:</t>
  </si>
  <si>
    <t>Team formation - Norming:</t>
  </si>
  <si>
    <t>Team formation - Performing:</t>
  </si>
  <si>
    <t xml:space="preserve">punctuated equilibrium model </t>
  </si>
  <si>
    <t>Factors that affect team cohesion:</t>
  </si>
  <si>
    <t>Team cohesion</t>
  </si>
  <si>
    <t xml:space="preserve">&lt;p class='space'&gt;Storming: People evaluate each other, conflict, and compete for roles/positions&lt;p class='space'&gt;Conflict&lt;p class='space'&gt;Increased clarity of purpose\(Power struggles, coaching) </t>
  </si>
  <si>
    <t xml:space="preserve">&lt;p class='space'&gt;Norming: Roles/responsibilities become clear and consensually accepted&lt;p class='space'&gt;Agreement and consensus&lt;p class='space'&gt;Clear roles and responsibilies&lt;p class='space'&gt;(Facilitation)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</si>
  <si>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</si>
  <si>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</si>
  <si>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</si>
  <si>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</si>
  <si>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</si>
  <si>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</si>
  <si>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</si>
  <si>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</si>
  <si>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</si>
  <si>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</si>
  <si>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</si>
  <si>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</si>
  <si>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</si>
  <si>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</si>
  <si>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</si>
  <si>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class='space'&gt;Goal-setting</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</si>
  <si>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</si>
  <si>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 xml:space="preserve">&lt;p class='space'&gt;(1) Interpersonal: trust, personal comfort, security&lt;p class='space'&gt;(2) Task: mission/purpose of group, methods, outcomes expected&lt;p class='space'&gt;(3) Authority; assigning leadership, determining how power is managed. </t>
  </si>
  <si>
    <t xml:space="preserve">&lt;p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t>
  </si>
  <si>
    <t>Communication is:</t>
  </si>
  <si>
    <t>Communication serves four functions at work:</t>
  </si>
  <si>
    <t>&lt;p class='space'&gt;Forming&lt;p class='space'&gt;Storming&lt;p class='space'&gt;Norming&lt;p class='space'&gt;Performing&lt;p class='space'&gt;Adjourning</t>
  </si>
  <si>
    <t xml:space="preserve">&lt;p class='space'&gt;Communication is the facilitation of a shared understanding of meaning in the mind of another person </t>
  </si>
  <si>
    <t xml:space="preserve">&lt;p class='space'&gt;(1) Exercising control via authority and influence &lt;p class='space'&gt;(2) Eliciting motivation in others &lt;p class='space'&gt;(3) Facilitating emotional expression and support &lt;p class='space'&gt;(4) Providing information for decision making </t>
  </si>
  <si>
    <t xml:space="preserve">Communication - A message has two components: </t>
  </si>
  <si>
    <t xml:space="preserve">Communication Process - Once encoded, a message is transmitted through:  </t>
  </si>
  <si>
    <t xml:space="preserve">Communication Process - capacity vs richness </t>
  </si>
  <si>
    <t xml:space="preserve">Nonverbal Communication </t>
  </si>
  <si>
    <t xml:space="preserve">&lt;p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t>
  </si>
  <si>
    <t xml:space="preserve">&lt;p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t>
  </si>
  <si>
    <t>&lt;p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t>
  </si>
  <si>
    <t xml:space="preserve">&lt;p class='space'&gt;Although most of our communication is verbal (oral or written), between 65-90% of the meaning in a given message is communicated nonverbally &lt;p class='space'&gt;Nonverbal communication is highly sensitive to sender/receiver characteristics, and context </t>
  </si>
  <si>
    <t>&lt;p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t>
  </si>
  <si>
    <t>&lt;p class='space'&gt;Undefined roles makes people dependent on a leader or initial goals&lt;p class='space'&gt;Little agreement&lt;p class='space'&gt;unclear purpose&lt;p class='space'&gt;(Guidance and direction)</t>
  </si>
  <si>
    <t>Team formation - Adjourning:</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</si>
  <si>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</si>
  <si>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Four types of nonverbal communication:</t>
  </si>
  <si>
    <t xml:space="preserve">Barriers to communication - perceptual filters </t>
  </si>
  <si>
    <t xml:space="preserve">&lt;p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t>
  </si>
  <si>
    <t>Barriers to communication - Other barriers:</t>
  </si>
  <si>
    <t xml:space="preserve">Barriers to communication - Three common perceptual tendencies: </t>
  </si>
  <si>
    <t xml:space="preserve">&lt;p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t>
  </si>
  <si>
    <t xml:space="preserve">&lt;p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t>
  </si>
  <si>
    <t>Active listening is:</t>
  </si>
  <si>
    <t>Four types of responses facilitate active listening:</t>
  </si>
  <si>
    <t xml:space="preserve">&lt;p class='space'&gt;Active listening is seeking to fully understand the sender’s intended message, rather than focusing only on one’s response to the message </t>
  </si>
  <si>
    <t>\nStop talking</t>
  </si>
  <si>
    <t>\nPut the speaker at ease</t>
  </si>
  <si>
    <t>\nShow the speaker you want to listen</t>
  </si>
  <si>
    <t>\nRemove distractions</t>
  </si>
  <si>
    <t>\nEmpathize with the speaker</t>
  </si>
  <si>
    <t>\nBe patient</t>
  </si>
  <si>
    <t>\nHold your temper</t>
  </si>
  <si>
    <t>\nGo easy on criticism</t>
  </si>
  <si>
    <t>\nAsk questions, paraphrase, and clarify</t>
  </si>
  <si>
    <t>\nStop talking! Be sure the speaker has finished before you talk</t>
  </si>
  <si>
    <t xml:space="preserve">Ways to improve your active listening skills: </t>
  </si>
  <si>
    <t>&lt;p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t>
  </si>
  <si>
    <t>Assertive communication</t>
  </si>
  <si>
    <t xml:space="preserve">&lt;p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t>
  </si>
  <si>
    <t xml:space="preserve">&lt;p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t>
  </si>
  <si>
    <t>&lt;p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t>
  </si>
  <si>
    <t>HRM360-CH06</t>
  </si>
  <si>
    <t>HRM360-CH01</t>
  </si>
  <si>
    <t>HRM360-CH02</t>
  </si>
  <si>
    <t>HRM360-CH03</t>
  </si>
  <si>
    <t>HRM360-CH04</t>
  </si>
  <si>
    <t>HRM360-CH05</t>
  </si>
  <si>
    <t>Decision-making two types:</t>
  </si>
  <si>
    <t>Rational decision-making - six steps:</t>
  </si>
  <si>
    <t xml:space="preserve">Rational decision model strengths/weaknesses: </t>
  </si>
  <si>
    <t xml:space="preserve">&lt;p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t>
  </si>
  <si>
    <t>Rational decision model assumptions:</t>
  </si>
  <si>
    <t>üThe outcome will be rational (not emotional or unpredicted)</t>
  </si>
  <si>
    <t>üThe decision maker has a consistent set of preferences</t>
  </si>
  <si>
    <t>üThe decision maker is aware of all possible alternatives</t>
  </si>
  <si>
    <t>üThe decision maker can calculate probability of success for each alternative</t>
  </si>
  <si>
    <t xml:space="preserve">&lt;p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t>
  </si>
  <si>
    <t>Bounded Rationality</t>
  </si>
  <si>
    <t>Bounded Rationality - Assumptions:</t>
  </si>
  <si>
    <t xml:space="preserve">&lt;p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t>
  </si>
  <si>
    <t xml:space="preserve">Heuristics </t>
  </si>
  <si>
    <t>Hueristics and biases:</t>
  </si>
  <si>
    <t xml:space="preserve">&lt;p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t>
  </si>
  <si>
    <t>&lt;p class='space'&gt;(1) Programmatic decisions are routine and based on established decision rules (most decisions programmatic)&lt;p class='space'&gt;(2) Non-programmatic decisions require creative solutions – requires conscious deliberations</t>
  </si>
  <si>
    <t xml:space="preserve">&lt;p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t>
  </si>
  <si>
    <t>What is the Framing Effect?</t>
  </si>
  <si>
    <t>The Framing effect is the principle that our choices are influenced by the way they are framed through different wordings, settings, and situations.</t>
  </si>
  <si>
    <t>How does it happen?</t>
  </si>
  <si>
    <t>The Decision Lab</t>
  </si>
  <si>
    <t>The Decision Lab is a think tank focused on creating positive impact in the public and private sectors by applying behavioral science.</t>
  </si>
  <si>
    <t>We are on a mission to democratize behavioral science.</t>
  </si>
  <si>
    <t>Learn More</t>
  </si>
  <si>
    <t>Which one of these products would you pick: A ‘95% effective’ condom or a ‘5% failure’ condom? ‘80% lean’ ground beef or ‘20%’ fat ground beef? Most people would be more likely to choose the first option in both cases, even though the two choices are identical.</t>
  </si>
  <si>
    <t>&lt;p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t>
  </si>
  <si>
    <t>Escalation of commitment - aka Commitment Bias</t>
  </si>
  <si>
    <t>What can be done to manage these decision-making biases and individual differences?</t>
  </si>
  <si>
    <t xml:space="preserve">&lt;p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t>
  </si>
  <si>
    <t>Group Decisions - Advantages and Disadvantages</t>
  </si>
  <si>
    <t>Disadvantages of group decision making:</t>
  </si>
  <si>
    <r>
      <t>1.</t>
    </r>
    <r>
      <rPr>
        <sz val="24"/>
        <color rgb="FF31859C"/>
        <rFont val="Avenir Roman"/>
      </rPr>
      <t>Pressure for conformity (groupthink)</t>
    </r>
  </si>
  <si>
    <r>
      <t>2.</t>
    </r>
    <r>
      <rPr>
        <sz val="24"/>
        <color rgb="FF31859C"/>
        <rFont val="Avenir Roman"/>
      </rPr>
      <t>Domination by forceful members</t>
    </r>
  </si>
  <si>
    <t>Time and organization requirements</t>
  </si>
  <si>
    <t xml:space="preserve">&lt;p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t>
  </si>
  <si>
    <t>Groupthink, what is it?</t>
  </si>
  <si>
    <t>&lt;p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t>
  </si>
  <si>
    <t xml:space="preserve">&lt;p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t>
  </si>
  <si>
    <t xml:space="preserve">How can groupthink be reduced? </t>
  </si>
  <si>
    <t xml:space="preserve">&lt;p class='space'&gt;Create subgroups, &lt;p class='space'&gt;outside experts, &lt;p class='space'&gt;appoint devil’s advocate, &lt;p class='space'&gt;rethink position once consensus is reached </t>
  </si>
  <si>
    <t>Groupthink notes:</t>
  </si>
  <si>
    <t xml:space="preserve">&lt;p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t>
  </si>
  <si>
    <t>&lt;p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economicus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t>
  </si>
  <si>
    <t>&lt;p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t>
  </si>
  <si>
    <t xml:space="preserve">&lt;p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t>
  </si>
  <si>
    <t>Heuristics - Examples:</t>
  </si>
  <si>
    <t>&lt;p class='space'&gt;Selecting the first satisfactory alternative - because costs (time, effort) are too high to optimize the decision\nSatisficing is a decision-making strategy that aims for a satisfactory or adequate result, rather than the optimal solution. Instead of putting maximum exertion toward attaining the ideal outcome, satisficing focuses on pragmatic effort when confronted with tasks. This is because aiming for the optimal solution may necessitate a needless expenditure of time, energy, and resources.</t>
  </si>
  <si>
    <t>What is Satisficing?</t>
  </si>
  <si>
    <t>HRM360-CH11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</si>
</sst>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
      <sz val="24"/>
      <color rgb="FF31859C"/>
      <name val="Avenir Roman"/>
    </font>
    <font>
      <sz val="24"/>
      <color rgb="FF31859C"/>
      <name val="Wingdings"/>
      <charset val="2"/>
    </font>
    <font>
      <sz val="28"/>
      <color rgb="FF31859C"/>
      <name val="Avenir Roman"/>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xf numFmtId="0" fontId="9" fillId="0" borderId="0" xfId="0" applyFont="1" applyAlignment="1">
      <alignment horizontal="left" vertical="center" indent="10" readingOrder="1"/>
    </xf>
    <xf numFmtId="0" fontId="10" fillId="0" borderId="0" xfId="0" applyFont="1" applyAlignment="1">
      <alignment horizontal="left" vertical="center" indent="4" readingOrder="1"/>
    </xf>
    <xf numFmtId="0" fontId="8"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cols>
    <col min="3" max="3" width="28" bestFit="1" customWidth="1"/>
    <col min="4" max="4" width="101.85546875" customWidth="1"/>
  </cols>
  <sheetData>
    <row r="1" spans="1:4">
      <c r="A1" t="s">
        <v>0</v>
      </c>
      <c r="B1" t="s">
        <v>2</v>
      </c>
      <c r="C1" t="s">
        <v>3</v>
      </c>
      <c r="D1" t="s">
        <v>6</v>
      </c>
    </row>
    <row r="2" spans="1:4">
      <c r="A2" t="s">
        <v>1</v>
      </c>
      <c r="B2" t="s">
        <v>5</v>
      </c>
      <c r="C2" t="s">
        <v>4</v>
      </c>
      <c r="D2" t="s">
        <v>7</v>
      </c>
    </row>
    <row r="3" spans="1:4">
      <c r="D3" t="s">
        <v>8</v>
      </c>
    </row>
    <row r="4" spans="1:4">
      <c r="D4" t="s">
        <v>9</v>
      </c>
    </row>
    <row r="5" spans="1:4">
      <c r="D5" t="s">
        <v>10</v>
      </c>
    </row>
    <row r="6" spans="1:4">
      <c r="D6" t="s">
        <v>11</v>
      </c>
    </row>
    <row r="7" spans="1:4">
      <c r="D7" t="s">
        <v>12</v>
      </c>
    </row>
    <row r="8" spans="1:4">
      <c r="D8" t="s">
        <v>13</v>
      </c>
    </row>
    <row r="9" spans="1:4">
      <c r="D9" t="s">
        <v>14</v>
      </c>
    </row>
    <row r="10" spans="1:4">
      <c r="D10" t="s">
        <v>15</v>
      </c>
    </row>
    <row r="11" spans="1:4">
      <c r="D11" t="s">
        <v>16</v>
      </c>
    </row>
    <row r="12" spans="1:4">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cols>
    <col min="3" max="3" width="35.140625" customWidth="1"/>
  </cols>
  <sheetData>
    <row r="1" spans="1:4">
      <c r="A1" t="s">
        <v>0</v>
      </c>
      <c r="B1" t="s">
        <v>2</v>
      </c>
      <c r="C1" t="s">
        <v>3</v>
      </c>
      <c r="D1" t="s">
        <v>6</v>
      </c>
    </row>
    <row r="2" spans="1:4">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72"/>
  <sheetViews>
    <sheetView tabSelected="1" zoomScale="78" zoomScaleNormal="78" workbookViewId="0">
      <pane ySplit="1" topLeftCell="A268" activePane="bottomLeft" state="frozen"/>
      <selection pane="bottomLeft" activeCell="D190" sqref="D190:D272"/>
    </sheetView>
  </sheetViews>
  <sheetFormatPr defaultRowHeight="15"/>
  <cols>
    <col min="1" max="1" width="61.28515625" style="3" customWidth="1"/>
    <col min="2" max="2" width="68" style="5" customWidth="1"/>
    <col min="3" max="3" width="21.28515625" style="3" customWidth="1"/>
    <col min="4" max="4" width="43.28515625" style="3" customWidth="1"/>
    <col min="5" max="16384" width="9.140625" style="3"/>
  </cols>
  <sheetData>
    <row r="1" spans="1:4">
      <c r="A1" s="2" t="s">
        <v>77</v>
      </c>
      <c r="B1" s="5" t="s">
        <v>129</v>
      </c>
      <c r="C1" s="3" t="s">
        <v>78</v>
      </c>
      <c r="D1" s="3" t="s">
        <v>119</v>
      </c>
    </row>
    <row r="2" spans="1:4" ht="30" hidden="1">
      <c r="A2" s="3" t="s">
        <v>67</v>
      </c>
      <c r="B2" s="5" t="s">
        <v>197</v>
      </c>
      <c r="C2" s="3" t="s">
        <v>1020</v>
      </c>
      <c r="D2" s="3" t="str">
        <f t="shared" ref="D2:D33" si="0">"[`" &amp; A2 &amp; "`,``,``,``,``, ``,`"  &amp; B2 &amp; "`, `" &amp; C2 &amp; "`]" &amp; IF(C3&lt;&gt;"",",","")</f>
        <v>[`What is Organizational behavior?`,``,``,``,``, ``,`&lt;p class='space'&gt;the study of individual behavior and group dynamics in organizations`, `HRM360-CH01`],</v>
      </c>
    </row>
    <row r="3" spans="1:4" ht="120" hidden="1">
      <c r="A3" s="3" t="s">
        <v>68</v>
      </c>
      <c r="B3" s="5" t="s">
        <v>198</v>
      </c>
      <c r="C3" s="3" t="s">
        <v>1020</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`HRM360-CH01`],</v>
      </c>
    </row>
    <row r="4" spans="1:4" ht="30" hidden="1">
      <c r="A4" s="3" t="s">
        <v>120</v>
      </c>
      <c r="B4" s="5" t="s">
        <v>215</v>
      </c>
      <c r="C4" s="3" t="s">
        <v>1020</v>
      </c>
      <c r="D4" s="3" t="str">
        <f t="shared" si="0"/>
        <v>[`The importance of technical skill verses personal skills changes over one's career. How? PP ch1 slide 6`,``,``,``,``, ``,`&lt;p class='space'&gt;Initially technical skills are of the greatest importance, but eventually personal skills become more important.`, `HRM360-CH01`],</v>
      </c>
    </row>
    <row r="5" spans="1:4" ht="105" hidden="1">
      <c r="A5" s="3" t="s">
        <v>121</v>
      </c>
      <c r="B5" s="5" t="s">
        <v>216</v>
      </c>
      <c r="C5" s="3" t="s">
        <v>1020</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`HRM360-CH01`],</v>
      </c>
    </row>
    <row r="6" spans="1:4" ht="60" hidden="1">
      <c r="A6" s="3" t="s">
        <v>122</v>
      </c>
      <c r="B6" s="5" t="s">
        <v>217</v>
      </c>
      <c r="C6" s="3" t="s">
        <v>1020</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`HRM360-CH01`],</v>
      </c>
    </row>
    <row r="7" spans="1:4" ht="60" hidden="1">
      <c r="A7" s="3" t="s">
        <v>123</v>
      </c>
      <c r="B7" s="5" t="s">
        <v>218</v>
      </c>
      <c r="C7" s="3" t="s">
        <v>1020</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`HRM360-CH01`],</v>
      </c>
    </row>
    <row r="8" spans="1:4" ht="45" hidden="1">
      <c r="A8" s="5" t="s">
        <v>127</v>
      </c>
      <c r="B8" s="5" t="s">
        <v>219</v>
      </c>
      <c r="C8" s="3" t="s">
        <v>1020</v>
      </c>
      <c r="D8" s="3" t="str">
        <f t="shared" si="0"/>
        <v>[`Two Sides of Organizations - Formal organization   `,``,``,``,``, ``,`&lt;p class='space'&gt;Formal organization   (overt) Goals and objectives  Policies and procedures  Job descriptions  Financial resources  Authority structure  Communication channels  Products and services`, `HRM360-CH01`],</v>
      </c>
    </row>
    <row r="9" spans="1:4" ht="45" hidden="1">
      <c r="A9" s="5" t="s">
        <v>128</v>
      </c>
      <c r="B9" s="5" t="s">
        <v>220</v>
      </c>
      <c r="C9" s="3" t="s">
        <v>1020</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`HRM360-CH01`],</v>
      </c>
    </row>
    <row r="10" spans="1:4" ht="45" hidden="1">
      <c r="A10" s="3" t="s">
        <v>124</v>
      </c>
      <c r="B10" s="5" t="s">
        <v>221</v>
      </c>
      <c r="C10" s="3" t="s">
        <v>1020</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`HRM360-CH01`],</v>
      </c>
    </row>
    <row r="11" spans="1:4" ht="105" hidden="1">
      <c r="A11" s="3" t="s">
        <v>125</v>
      </c>
      <c r="B11" s="5" t="s">
        <v>222</v>
      </c>
      <c r="C11" s="3" t="s">
        <v>1020</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`HRM360-CH01`],</v>
      </c>
    </row>
    <row r="12" spans="1:4" ht="60" hidden="1">
      <c r="A12" s="3" t="s">
        <v>126</v>
      </c>
      <c r="B12" s="5" t="s">
        <v>223</v>
      </c>
      <c r="C12" s="3" t="s">
        <v>1020</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`HRM360-CH01`],</v>
      </c>
    </row>
    <row r="13" spans="1:4" ht="90" hidden="1">
      <c r="A13" s="3" t="s">
        <v>130</v>
      </c>
      <c r="B13" s="5" t="s">
        <v>224</v>
      </c>
      <c r="C13" s="3" t="s">
        <v>1020</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`HRM360-CH01`],</v>
      </c>
    </row>
    <row r="14" spans="1:4" ht="60" hidden="1">
      <c r="A14" s="3" t="s">
        <v>132</v>
      </c>
      <c r="B14" s="5" t="s">
        <v>141</v>
      </c>
      <c r="C14" s="3" t="s">
        <v>1020</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`HRM360-CH01`],</v>
      </c>
    </row>
    <row r="15" spans="1:4" ht="60" hidden="1">
      <c r="A15" s="3" t="s">
        <v>133</v>
      </c>
      <c r="B15" s="5" t="s">
        <v>225</v>
      </c>
      <c r="C15" s="3" t="s">
        <v>1020</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`HRM360-CH01`],</v>
      </c>
    </row>
    <row r="16" spans="1:4" ht="120" hidden="1">
      <c r="A16" s="3" t="s">
        <v>134</v>
      </c>
      <c r="B16" s="5" t="s">
        <v>226</v>
      </c>
      <c r="C16" s="3" t="s">
        <v>1020</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`HRM360-CH01`],</v>
      </c>
    </row>
    <row r="17" spans="1:4" ht="90" hidden="1">
      <c r="A17" s="3" t="s">
        <v>135</v>
      </c>
      <c r="B17" s="5" t="s">
        <v>227</v>
      </c>
      <c r="C17" s="3" t="s">
        <v>1020</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`HRM360-CH01`],</v>
      </c>
    </row>
    <row r="18" spans="1:4" ht="75" hidden="1">
      <c r="A18" s="3" t="s">
        <v>136</v>
      </c>
      <c r="B18" s="5" t="s">
        <v>196</v>
      </c>
      <c r="C18" s="3" t="s">
        <v>1020</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`HRM360-CH01`],</v>
      </c>
    </row>
    <row r="19" spans="1:4" ht="120" hidden="1">
      <c r="A19" s="3" t="s">
        <v>137</v>
      </c>
      <c r="B19" s="5" t="s">
        <v>140</v>
      </c>
      <c r="C19" s="3" t="s">
        <v>1020</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`HRM360-CH01`],</v>
      </c>
    </row>
    <row r="20" spans="1:4" ht="135" hidden="1">
      <c r="A20" s="3" t="s">
        <v>138</v>
      </c>
      <c r="B20" s="5" t="s">
        <v>263</v>
      </c>
      <c r="C20" s="3" t="s">
        <v>1020</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`HRM360-CH01`],</v>
      </c>
    </row>
    <row r="21" spans="1:4" ht="105" hidden="1">
      <c r="A21" s="3" t="s">
        <v>139</v>
      </c>
      <c r="B21" s="5" t="s">
        <v>228</v>
      </c>
      <c r="C21" s="3" t="s">
        <v>1020</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`HRM360-CH01`],</v>
      </c>
    </row>
    <row r="22" spans="1:4" ht="180" hidden="1">
      <c r="A22" s="3" t="s">
        <v>193</v>
      </c>
      <c r="B22" s="5" t="s">
        <v>264</v>
      </c>
      <c r="C22" s="3" t="s">
        <v>1020</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`HRM360-CH01`],</v>
      </c>
    </row>
    <row r="23" spans="1:4" ht="270" hidden="1">
      <c r="A23" s="3" t="s">
        <v>142</v>
      </c>
      <c r="B23" s="5" t="s">
        <v>229</v>
      </c>
      <c r="C23" s="3" t="s">
        <v>1021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`HRM360-CH02`],</v>
      </c>
    </row>
    <row r="24" spans="1:4" ht="45" hidden="1">
      <c r="A24" s="3" t="s">
        <v>143</v>
      </c>
      <c r="B24" s="5" t="s">
        <v>327</v>
      </c>
      <c r="C24" s="3" t="s">
        <v>1021</v>
      </c>
      <c r="D24" s="3" t="str">
        <f t="shared" si="0"/>
        <v>[`Values are shaped by?`,``,``,``,``, ``,`&lt;p class='space'&gt;a combination of nature (e.g., genetics) and nurture (e.g., upbringing, experiences) , making them unique from each&lt;p class='space'&gt;values are NOT the same as personality`, `HRM360-CH02`],</v>
      </c>
    </row>
    <row r="25" spans="1:4" ht="75" hidden="1">
      <c r="A25" s="3" t="s">
        <v>144</v>
      </c>
      <c r="B25" s="5" t="s">
        <v>230</v>
      </c>
      <c r="C25" s="3" t="s">
        <v>1021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`HRM360-CH02`],</v>
      </c>
    </row>
    <row r="26" spans="1:4" ht="45" hidden="1">
      <c r="A26" s="3" t="s">
        <v>145</v>
      </c>
      <c r="B26" s="5" t="s">
        <v>231</v>
      </c>
      <c r="C26" s="3" t="s">
        <v>1021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`HRM360-CH02`],</v>
      </c>
    </row>
    <row r="27" spans="1:4" ht="45" hidden="1">
      <c r="A27" s="5" t="s">
        <v>146</v>
      </c>
      <c r="B27" s="5" t="s">
        <v>232</v>
      </c>
      <c r="C27" s="3" t="s">
        <v>1021</v>
      </c>
      <c r="D27" s="3" t="str">
        <f t="shared" si="0"/>
        <v>[`Values - There are three general approaches:`,``,``,``,``, ``,`&lt;p class='space'&gt;Provide opportunities to fulfill values&lt;p class='space'&gt;Find people’s with matching values&lt;p class='space'&gt;Develop new values in our workers`, `HRM360-CH02`],</v>
      </c>
    </row>
    <row r="28" spans="1:4" ht="75" hidden="1">
      <c r="A28" s="3" t="s">
        <v>147</v>
      </c>
      <c r="B28" s="5" t="s">
        <v>233</v>
      </c>
      <c r="C28" s="3" t="s">
        <v>1021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`HRM360-CH02`],</v>
      </c>
    </row>
    <row r="29" spans="1:4" ht="120" hidden="1">
      <c r="A29" s="3" t="s">
        <v>194</v>
      </c>
      <c r="B29" s="5" t="s">
        <v>234</v>
      </c>
      <c r="C29" s="3" t="s">
        <v>1021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`HRM360-CH02`],</v>
      </c>
    </row>
    <row r="30" spans="1:4" ht="90" hidden="1">
      <c r="A30" s="3" t="s">
        <v>148</v>
      </c>
      <c r="B30" s="5" t="s">
        <v>235</v>
      </c>
      <c r="C30" s="3" t="s">
        <v>1021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`HRM360-CH02`],</v>
      </c>
    </row>
    <row r="31" spans="1:4" ht="60" hidden="1">
      <c r="A31" s="3" t="s">
        <v>149</v>
      </c>
      <c r="B31" s="5" t="s">
        <v>236</v>
      </c>
      <c r="C31" s="3" t="s">
        <v>1021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`HRM360-CH02`],</v>
      </c>
    </row>
    <row r="32" spans="1:4" ht="225" hidden="1">
      <c r="A32" s="3" t="s">
        <v>150</v>
      </c>
      <c r="B32" s="5" t="s">
        <v>265</v>
      </c>
      <c r="C32" s="3" t="s">
        <v>1021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`HRM360-CH02`],</v>
      </c>
    </row>
    <row r="33" spans="1:4" ht="45" hidden="1">
      <c r="A33" s="3" t="s">
        <v>151</v>
      </c>
      <c r="B33" s="5" t="s">
        <v>237</v>
      </c>
      <c r="C33" s="3" t="s">
        <v>1021</v>
      </c>
      <c r="D33" s="3" t="str">
        <f t="shared" si="0"/>
        <v>[`Job satisfaction`,``,``,``,``, ``,`&lt;p class='space'&gt;Job satisfaction is a positive emotional state resulting from one’s appraisal or evaluation of his or her job, and the parts of that job, and has ramifications for many types of employee behavior `, `HRM360-CH02`],</v>
      </c>
    </row>
    <row r="34" spans="1:4" ht="75" hidden="1">
      <c r="A34" s="3" t="s">
        <v>152</v>
      </c>
      <c r="B34" s="5" t="s">
        <v>238</v>
      </c>
      <c r="C34" s="3" t="s">
        <v>1021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`HRM360-CH02`],</v>
      </c>
    </row>
    <row r="35" spans="1:4" ht="75" hidden="1">
      <c r="A35" s="3" t="s">
        <v>152</v>
      </c>
      <c r="B35" s="5" t="s">
        <v>239</v>
      </c>
      <c r="C35" s="3" t="s">
        <v>1021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`HRM360-CH02`],</v>
      </c>
    </row>
    <row r="36" spans="1:4" ht="60" hidden="1">
      <c r="A36" s="3" t="s">
        <v>266</v>
      </c>
      <c r="B36" s="5" t="s">
        <v>268</v>
      </c>
      <c r="C36" s="3" t="s">
        <v>1021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`HRM360-CH02`],</v>
      </c>
    </row>
    <row r="37" spans="1:4" ht="75" hidden="1">
      <c r="A37" s="3" t="s">
        <v>153</v>
      </c>
      <c r="B37" s="5" t="s">
        <v>240</v>
      </c>
      <c r="C37" s="3" t="s">
        <v>1021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`HRM360-CH02`],</v>
      </c>
    </row>
    <row r="38" spans="1:4" ht="90" hidden="1">
      <c r="A38" s="3" t="s">
        <v>154</v>
      </c>
      <c r="B38" s="5" t="s">
        <v>241</v>
      </c>
      <c r="C38" s="3" t="s">
        <v>1021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`HRM360-CH02`],</v>
      </c>
    </row>
    <row r="39" spans="1:4" ht="105" hidden="1">
      <c r="A39" s="3" t="s">
        <v>155</v>
      </c>
      <c r="B39" s="5" t="s">
        <v>328</v>
      </c>
      <c r="C39" s="3" t="s">
        <v>1021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`HRM360-CH02`],</v>
      </c>
    </row>
    <row r="40" spans="1:4" ht="60" hidden="1">
      <c r="A40" s="3" t="s">
        <v>156</v>
      </c>
      <c r="B40" s="5" t="s">
        <v>242</v>
      </c>
      <c r="C40" s="3" t="s">
        <v>1021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`HRM360-CH02`],</v>
      </c>
    </row>
    <row r="41" spans="1:4" ht="60" hidden="1">
      <c r="A41" s="5" t="s">
        <v>158</v>
      </c>
      <c r="B41" s="5" t="s">
        <v>243</v>
      </c>
      <c r="C41" s="3" t="s">
        <v>1021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`HRM360-CH02`],</v>
      </c>
    </row>
    <row r="42" spans="1:4" ht="165" hidden="1">
      <c r="A42" s="3" t="s">
        <v>157</v>
      </c>
      <c r="B42" s="5" t="s">
        <v>329</v>
      </c>
      <c r="C42" s="3" t="s">
        <v>1021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`HRM360-CH02`],</v>
      </c>
    </row>
    <row r="43" spans="1:4" ht="375" hidden="1">
      <c r="A43" s="3" t="s">
        <v>159</v>
      </c>
      <c r="B43" s="5" t="s">
        <v>281</v>
      </c>
      <c r="C43" s="3" t="s">
        <v>1021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`HRM360-CH02`],</v>
      </c>
    </row>
    <row r="44" spans="1:4" ht="30" hidden="1">
      <c r="A44" s="3" t="s">
        <v>269</v>
      </c>
      <c r="B44" s="5" t="s">
        <v>244</v>
      </c>
      <c r="C44" s="3" t="s">
        <v>1021</v>
      </c>
      <c r="D44" s="3" t="str">
        <f t="shared" si="1"/>
        <v>[`Value wheel - what are the four poles? (key info)`,``,``,``,``, ``,`&lt;p class='space'&gt;Self-transcendence - Self-Enhancement&lt;p class='space'&gt;Openness to Change - Conservation`, `HRM360-CH02`],</v>
      </c>
    </row>
    <row r="45" spans="1:4" ht="105" hidden="1">
      <c r="A45" s="3" t="s">
        <v>160</v>
      </c>
      <c r="B45" s="5" t="s">
        <v>245</v>
      </c>
      <c r="C45" s="3" t="s">
        <v>1021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`HRM360-CH02`],</v>
      </c>
    </row>
    <row r="46" spans="1:4" ht="180" hidden="1">
      <c r="A46" s="3" t="s">
        <v>161</v>
      </c>
      <c r="B46" s="5" t="s">
        <v>246</v>
      </c>
      <c r="C46" s="3" t="s">
        <v>1021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`HRM360-CH02`],</v>
      </c>
    </row>
    <row r="47" spans="1:4" ht="75" hidden="1">
      <c r="A47" s="3" t="s">
        <v>169</v>
      </c>
      <c r="B47" s="5" t="s">
        <v>247</v>
      </c>
      <c r="C47" s="3" t="s">
        <v>1021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`HRM360-CH02`],</v>
      </c>
    </row>
    <row r="48" spans="1:4" ht="105" hidden="1">
      <c r="A48" s="3" t="s">
        <v>170</v>
      </c>
      <c r="B48" s="5" t="s">
        <v>248</v>
      </c>
      <c r="C48" s="3" t="s">
        <v>1021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`HRM360-CH02`],</v>
      </c>
    </row>
    <row r="49" spans="1:4" ht="90" hidden="1">
      <c r="A49" s="3" t="s">
        <v>162</v>
      </c>
      <c r="B49" s="5" t="s">
        <v>282</v>
      </c>
      <c r="C49" s="3" t="s">
        <v>1021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`HRM360-CH02`],</v>
      </c>
    </row>
    <row r="50" spans="1:4" ht="75" hidden="1">
      <c r="A50" s="3" t="s">
        <v>163</v>
      </c>
      <c r="B50" s="5" t="s">
        <v>283</v>
      </c>
      <c r="C50" s="3" t="s">
        <v>1021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`HRM360-CH02`],</v>
      </c>
    </row>
    <row r="51" spans="1:4" ht="45" hidden="1">
      <c r="A51" s="3" t="s">
        <v>164</v>
      </c>
      <c r="B51" s="5" t="s">
        <v>284</v>
      </c>
      <c r="C51" s="3" t="s">
        <v>1021</v>
      </c>
      <c r="D51" s="3" t="str">
        <f t="shared" si="1"/>
        <v>[`Nature of values (2)`,``,``,``,``, ``,`&lt;p class='space'&gt;(2) Values refer to desirable goals that motivate action. &lt;p class='space'&gt;People for whom social order, justice, and helpfulness are important values are motivated to pursue these goals.`, `HRM360-CH02`],</v>
      </c>
    </row>
    <row r="52" spans="1:4" ht="75" hidden="1">
      <c r="A52" s="3" t="s">
        <v>165</v>
      </c>
      <c r="B52" s="5" t="s">
        <v>285</v>
      </c>
      <c r="C52" s="3" t="s">
        <v>1021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`HRM360-CH02`],</v>
      </c>
    </row>
    <row r="53" spans="1:4" ht="120" hidden="1">
      <c r="A53" s="3" t="s">
        <v>166</v>
      </c>
      <c r="B53" s="5" t="s">
        <v>286</v>
      </c>
      <c r="C53" s="3" t="s">
        <v>1021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`HRM360-CH02`],</v>
      </c>
    </row>
    <row r="54" spans="1:4" ht="90" hidden="1">
      <c r="A54" s="3" t="s">
        <v>167</v>
      </c>
      <c r="B54" s="5" t="s">
        <v>287</v>
      </c>
      <c r="C54" s="3" t="s">
        <v>1021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`HRM360-CH02`],</v>
      </c>
    </row>
    <row r="55" spans="1:4" ht="120" hidden="1">
      <c r="A55" s="3" t="s">
        <v>168</v>
      </c>
      <c r="B55" s="5" t="s">
        <v>288</v>
      </c>
      <c r="C55" s="3" t="s">
        <v>1021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`HRM360-CH02`],</v>
      </c>
    </row>
    <row r="56" spans="1:4" hidden="1">
      <c r="A56" s="3" t="s">
        <v>171</v>
      </c>
      <c r="B56" s="5" t="s">
        <v>270</v>
      </c>
      <c r="C56" s="3" t="s">
        <v>1021</v>
      </c>
      <c r="D56" s="3" t="str">
        <f t="shared" si="1"/>
        <v>[`Attitudes are?`,``,``,``,``, ``,`&lt;p class='space'&gt;Diet values, psychological tendencies, fleeting changes`, `HRM360-CH02`],</v>
      </c>
    </row>
    <row r="57" spans="1:4" ht="30" hidden="1">
      <c r="A57" s="3" t="s">
        <v>172</v>
      </c>
      <c r="B57" s="5" t="s">
        <v>330</v>
      </c>
      <c r="C57" s="3" t="s">
        <v>1021</v>
      </c>
      <c r="D57" s="3" t="str">
        <f t="shared" si="1"/>
        <v>[`Job satisfaction strongly correlates with turnover`,``,``,``,``, ``,`&lt;p class='space'&gt;Negatively with turnover, the more satisfied someone is with their job the lower the tendency to quit job.`, `HRM360-CH02`],</v>
      </c>
    </row>
    <row r="58" spans="1:4" ht="120" hidden="1">
      <c r="A58" s="3" t="s">
        <v>186</v>
      </c>
      <c r="B58" s="5" t="s">
        <v>249</v>
      </c>
      <c r="C58" s="3" t="s">
        <v>1021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`HRM360-CH02`],</v>
      </c>
    </row>
    <row r="59" spans="1:4" ht="180" hidden="1">
      <c r="A59" s="3" t="s">
        <v>187</v>
      </c>
      <c r="B59" s="5" t="s">
        <v>289</v>
      </c>
      <c r="C59" s="3" t="s">
        <v>1021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`HRM360-CH02`],</v>
      </c>
    </row>
    <row r="60" spans="1:4" ht="135" hidden="1">
      <c r="A60" s="3" t="s">
        <v>188</v>
      </c>
      <c r="B60" s="5" t="s">
        <v>250</v>
      </c>
      <c r="C60" s="3" t="s">
        <v>1021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`HRM360-CH02`],</v>
      </c>
    </row>
    <row r="61" spans="1:4" ht="150" hidden="1">
      <c r="A61" s="3" t="s">
        <v>173</v>
      </c>
      <c r="B61" s="5" t="s">
        <v>251</v>
      </c>
      <c r="C61" s="3" t="s">
        <v>1021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`HRM360-CH02`],</v>
      </c>
    </row>
    <row r="62" spans="1:4" ht="75" hidden="1">
      <c r="A62" s="3" t="s">
        <v>174</v>
      </c>
      <c r="B62" s="5" t="s">
        <v>252</v>
      </c>
      <c r="C62" s="3" t="s">
        <v>1021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`HRM360-CH02`],</v>
      </c>
    </row>
    <row r="63" spans="1:4" ht="225" hidden="1">
      <c r="A63" s="3" t="s">
        <v>271</v>
      </c>
      <c r="B63" s="5" t="s">
        <v>253</v>
      </c>
      <c r="C63" s="3" t="s">
        <v>1021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`HRM360-CH02`],</v>
      </c>
    </row>
    <row r="64" spans="1:4" ht="45" hidden="1">
      <c r="A64" s="3" t="s">
        <v>175</v>
      </c>
      <c r="B64" s="5" t="s">
        <v>254</v>
      </c>
      <c r="C64" s="3" t="s">
        <v>1021</v>
      </c>
      <c r="D64" s="3" t="str">
        <f t="shared" si="1"/>
        <v>[`Cognitive dissonance`,``,``,``,``, ``,`&lt;p class='space'&gt;represents the psychological discomfort a person experiences when simultaneously holding two or more conflicting cognitions (ideas, beliefs, values, or emotions) .`, `HRM360-CH02`],</v>
      </c>
    </row>
    <row r="65" spans="1:4" ht="45" hidden="1">
      <c r="A65" s="3" t="s">
        <v>176</v>
      </c>
      <c r="B65" s="5" t="s">
        <v>273</v>
      </c>
      <c r="C65" s="3" t="s">
        <v>1021</v>
      </c>
      <c r="D65" s="3" t="str">
        <f t="shared" si="1"/>
        <v>[`What is the key link between attitudes and planned behavior`,``,``,``,``, ``,`&lt;p class='space'&gt;Intentions are the key link between attitudes and planned behavior, someone’s intention to engage in a given behavior is a strong predictor of that behavior. `, `HRM360-CH02`],</v>
      </c>
    </row>
    <row r="66" spans="1:4" ht="150" hidden="1">
      <c r="A66" s="3" t="s">
        <v>177</v>
      </c>
      <c r="B66" s="5" t="s">
        <v>290</v>
      </c>
      <c r="C66" s="3" t="s">
        <v>1021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`HRM360-CH02`],</v>
      </c>
    </row>
    <row r="67" spans="1:4" ht="90" hidden="1">
      <c r="A67" s="3" t="s">
        <v>178</v>
      </c>
      <c r="B67" s="5" t="s">
        <v>255</v>
      </c>
      <c r="C67" s="3" t="s">
        <v>1021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`HRM360-CH02`],</v>
      </c>
    </row>
    <row r="68" spans="1:4" ht="75" hidden="1">
      <c r="A68" s="3" t="s">
        <v>179</v>
      </c>
      <c r="B68" s="5" t="s">
        <v>274</v>
      </c>
      <c r="C68" s="3" t="s">
        <v>1021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`HRM360-CH02`],</v>
      </c>
    </row>
    <row r="69" spans="1:4" ht="60" hidden="1">
      <c r="A69" s="3" t="s">
        <v>180</v>
      </c>
      <c r="B69" s="5" t="s">
        <v>275</v>
      </c>
      <c r="C69" s="3" t="s">
        <v>1021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`HRM360-CH02`],</v>
      </c>
    </row>
    <row r="70" spans="1:4" ht="75" hidden="1">
      <c r="A70" s="3" t="s">
        <v>181</v>
      </c>
      <c r="B70" s="5" t="s">
        <v>256</v>
      </c>
      <c r="C70" s="3" t="s">
        <v>1021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`HRM360-CH02`],</v>
      </c>
    </row>
    <row r="71" spans="1:4" ht="105" hidden="1">
      <c r="A71" s="10" t="s">
        <v>276</v>
      </c>
      <c r="B71" s="5" t="s">
        <v>272</v>
      </c>
      <c r="C71" s="3" t="s">
        <v>1021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`HRM360-CH02`],</v>
      </c>
    </row>
    <row r="72" spans="1:4" hidden="1">
      <c r="A72" s="3" t="s">
        <v>182</v>
      </c>
      <c r="B72" s="5" t="s">
        <v>257</v>
      </c>
      <c r="C72" s="3" t="s">
        <v>1021</v>
      </c>
      <c r="D72" s="3" t="str">
        <f t="shared" si="2"/>
        <v>[`What Contributes to Employee Engagement? Two Factors:`,``,``,``,``, ``,`&lt;p class='space'&gt;Person Factors&lt;p class='space'&gt;Situation Factors  `, `HRM360-CH02`],</v>
      </c>
    </row>
    <row r="73" spans="1:4" ht="30" hidden="1">
      <c r="A73" s="3" t="s">
        <v>183</v>
      </c>
      <c r="B73" s="5" t="s">
        <v>258</v>
      </c>
      <c r="C73" s="3" t="s">
        <v>1021</v>
      </c>
      <c r="D73" s="3" t="str">
        <f t="shared" si="2"/>
        <v>[`What Contributes to Employee Engagement? Person factors`,``,``,``,``, ``,`&lt;p class='space'&gt;Personality.&lt;p class='space'&gt;Positive psychological capital.&lt;p class='space'&gt;Human and social capital. `, `HRM360-CH02`],</v>
      </c>
    </row>
    <row r="74" spans="1:4" ht="150" hidden="1">
      <c r="A74" s="5" t="s">
        <v>189</v>
      </c>
      <c r="B74" s="5" t="s">
        <v>259</v>
      </c>
      <c r="C74" s="3" t="s">
        <v>1021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`HRM360-CH02`],</v>
      </c>
    </row>
    <row r="75" spans="1:4" ht="90" hidden="1">
      <c r="A75" s="3" t="s">
        <v>184</v>
      </c>
      <c r="B75" s="5" t="s">
        <v>260</v>
      </c>
      <c r="C75" s="3" t="s">
        <v>1021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`HRM360-CH02`],</v>
      </c>
    </row>
    <row r="76" spans="1:4" ht="45" hidden="1">
      <c r="A76" s="3" t="s">
        <v>185</v>
      </c>
      <c r="B76" s="5" t="s">
        <v>261</v>
      </c>
      <c r="C76" s="3" t="s">
        <v>1021</v>
      </c>
      <c r="D76" s="3" t="str">
        <f t="shared" si="2"/>
        <v>[`Five Predominant Models of Job Satisfaction`,``,``,``,``, ``,`&lt;p class='space'&gt;(1) Need Fulfillment.&lt;p class='space'&gt;(2) Met Expectations.&lt;p class='space'&gt;(3) Value Attainment.&lt;p class='space'&gt;(4) Equity.`, `HRM360-CH02`],</v>
      </c>
    </row>
    <row r="77" spans="1:4" ht="60" hidden="1">
      <c r="A77" s="3" t="s">
        <v>277</v>
      </c>
      <c r="B77" s="5" t="s">
        <v>262</v>
      </c>
      <c r="C77" s="3" t="s">
        <v>1021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`HRM360-CH02`],</v>
      </c>
    </row>
    <row r="78" spans="1:4" ht="120" hidden="1">
      <c r="A78" s="3" t="s">
        <v>278</v>
      </c>
      <c r="B78" s="5" t="s">
        <v>291</v>
      </c>
      <c r="C78" s="3" t="s">
        <v>1021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`HRM360-CH02`],</v>
      </c>
    </row>
    <row r="79" spans="1:4" ht="90" hidden="1">
      <c r="A79" s="3" t="s">
        <v>279</v>
      </c>
      <c r="B79" s="5" t="s">
        <v>292</v>
      </c>
      <c r="C79" s="3" t="s">
        <v>1021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`HRM360-CH02`],</v>
      </c>
    </row>
    <row r="80" spans="1:4" ht="120" hidden="1">
      <c r="A80" s="3" t="s">
        <v>280</v>
      </c>
      <c r="B80" s="5" t="s">
        <v>293</v>
      </c>
      <c r="C80" s="3" t="s">
        <v>1021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`HRM360-CH02`],</v>
      </c>
    </row>
    <row r="81" spans="1:4" ht="30" hidden="1">
      <c r="A81" s="3" t="s">
        <v>295</v>
      </c>
      <c r="B81" s="5" t="s">
        <v>296</v>
      </c>
      <c r="C81" s="3" t="s">
        <v>1022</v>
      </c>
      <c r="D81" s="3" t="str">
        <f t="shared" si="2"/>
        <v>[`Traits`,``,``,``,``, ``,`Facets of you that allow your behaviors to be predicted- in weak situations. `, `HRM360-CH03`],</v>
      </c>
    </row>
    <row r="82" spans="1:4" ht="75" hidden="1">
      <c r="A82" s="3" t="s">
        <v>299</v>
      </c>
      <c r="B82" s="5" t="s">
        <v>303</v>
      </c>
      <c r="C82" s="3" t="s">
        <v>1022</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`HRM360-CH03`],</v>
      </c>
    </row>
    <row r="83" spans="1:4" ht="30" hidden="1">
      <c r="A83" s="3" t="s">
        <v>297</v>
      </c>
      <c r="B83" s="5" t="s">
        <v>331</v>
      </c>
      <c r="C83" s="3" t="s">
        <v>1022</v>
      </c>
      <c r="D83" s="3" t="str">
        <f t="shared" si="2"/>
        <v>[`Emotions`,``,``,``,``, ``,`&lt;p class='space'&gt;happen suddenly - affect your ability to focus. Dissipate quickly.`, `HRM360-CH03`],</v>
      </c>
    </row>
    <row r="84" spans="1:4" hidden="1">
      <c r="A84" s="3" t="s">
        <v>298</v>
      </c>
      <c r="B84" s="5" t="s">
        <v>304</v>
      </c>
      <c r="C84" s="3" t="s">
        <v>1022</v>
      </c>
      <c r="D84" s="3" t="str">
        <f t="shared" si="2"/>
        <v>[`Moods`,``,``,``,``, ``,`&lt;p class='space'&gt;Lower key - slowly shape your thoughts all day.`, `HRM360-CH03`],</v>
      </c>
    </row>
    <row r="85" spans="1:4" ht="60" hidden="1">
      <c r="A85" s="3" t="s">
        <v>300</v>
      </c>
      <c r="B85" s="5" t="s">
        <v>305</v>
      </c>
      <c r="C85" s="3" t="s">
        <v>1022</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`HRM360-CH03`],</v>
      </c>
    </row>
    <row r="86" spans="1:4" ht="75" hidden="1">
      <c r="A86" s="3" t="s">
        <v>301</v>
      </c>
      <c r="B86" s="5" t="s">
        <v>332</v>
      </c>
      <c r="C86" s="3" t="s">
        <v>1022</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`HRM360-CH03`],</v>
      </c>
    </row>
    <row r="87" spans="1:4" hidden="1">
      <c r="A87" s="3" t="s">
        <v>333</v>
      </c>
      <c r="C87" s="3" t="s">
        <v>1022</v>
      </c>
      <c r="D87" s="3" t="str">
        <f t="shared" si="2"/>
        <v>[`Affectivity original model`,``,``,``,``, ``,``, `HRM360-CH03`],</v>
      </c>
    </row>
    <row r="88" spans="1:4" ht="75" hidden="1">
      <c r="A88" s="3" t="s">
        <v>302</v>
      </c>
      <c r="B88" s="5" t="s">
        <v>312</v>
      </c>
      <c r="C88" s="3" t="s">
        <v>1022</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`HRM360-CH03`],</v>
      </c>
    </row>
    <row r="89" spans="1:4" hidden="1">
      <c r="A89" s="3" t="s">
        <v>334</v>
      </c>
      <c r="B89" s="5" t="s">
        <v>306</v>
      </c>
      <c r="C89" s="3" t="s">
        <v>1022</v>
      </c>
      <c r="D89" s="3" t="str">
        <f t="shared" si="2"/>
        <v>[`Positive/Negative Affectivity align with`,``,``,``,``, ``,`&lt;p class='space'&gt;Big five Neuroticism  and extroversion`, `HRM360-CH03`],</v>
      </c>
    </row>
    <row r="90" spans="1:4" ht="45" hidden="1">
      <c r="A90" s="3" t="s">
        <v>319</v>
      </c>
      <c r="B90" s="5" t="s">
        <v>335</v>
      </c>
      <c r="C90" s="3" t="s">
        <v>1022</v>
      </c>
      <c r="D90" s="3" t="str">
        <f t="shared" si="2"/>
        <v>[`What Are the Big Five Dimensions of Personality?  (Trait Theory)`,``,``,``,``, ``,`&lt;p class='space'&gt;Openness&lt;p class='space'&gt;Conscientiousness&lt;p class='space'&gt;Extraversion&lt;p class='space'&gt;Agreeableness&lt;p class='space'&gt;Neuroticism (emotional stability)`, `HRM360-CH03`],</v>
      </c>
    </row>
    <row r="91" spans="1:4" hidden="1">
      <c r="A91" s="3" t="s">
        <v>307</v>
      </c>
      <c r="B91" s="5" t="s">
        <v>309</v>
      </c>
      <c r="C91" s="3" t="s">
        <v>1022</v>
      </c>
      <c r="D91" s="3" t="str">
        <f t="shared" si="2"/>
        <v>[`Employee burnout more likely when one has:`,``,``,``,``, ``,`&lt;p class='space'&gt;High negative affectivity`, `HRM360-CH03`],</v>
      </c>
    </row>
    <row r="92" spans="1:4" hidden="1">
      <c r="A92" s="3" t="s">
        <v>308</v>
      </c>
      <c r="B92" s="5" t="s">
        <v>310</v>
      </c>
      <c r="C92" s="3" t="s">
        <v>1022</v>
      </c>
      <c r="D92" s="3" t="str">
        <f t="shared" si="2"/>
        <v>[`Least likely to burnout:`,``,``,``,``, ``,`&lt;p class='space'&gt;Low negative affectivity`, `HRM360-CH03`],</v>
      </c>
    </row>
    <row r="93" spans="1:4" ht="30" hidden="1">
      <c r="A93" s="3" t="s">
        <v>313</v>
      </c>
      <c r="B93" s="5" t="s">
        <v>314</v>
      </c>
      <c r="C93" s="3" t="s">
        <v>1022</v>
      </c>
      <c r="D93" s="3" t="str">
        <f t="shared" si="2"/>
        <v>[`Emotional Intelligence - four dimensions`,``,``,``,``, ``,`&lt;p class='space'&gt;Self-awareness&lt;p class='space'&gt;Self-management&lt;p class='space'&gt;Social awareness&lt;p class='space'&gt;Relationship management`, `HRM360-CH03`],</v>
      </c>
    </row>
    <row r="94" spans="1:4" ht="75" hidden="1">
      <c r="A94" s="3" t="s">
        <v>311</v>
      </c>
      <c r="B94" s="5" t="s">
        <v>316</v>
      </c>
      <c r="C94" s="3" t="s">
        <v>1022</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`HRM360-CH03`],</v>
      </c>
    </row>
    <row r="95" spans="1:4" ht="60" hidden="1">
      <c r="A95" s="3" t="s">
        <v>315</v>
      </c>
      <c r="B95" s="5" t="s">
        <v>318</v>
      </c>
      <c r="C95" s="3" t="s">
        <v>1022</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`HRM360-CH03`],</v>
      </c>
    </row>
    <row r="96" spans="1:4" ht="30" hidden="1">
      <c r="A96" s="3" t="s">
        <v>317</v>
      </c>
      <c r="B96" s="5" t="s">
        <v>336</v>
      </c>
      <c r="C96" s="3" t="s">
        <v>1022</v>
      </c>
      <c r="D96" s="3" t="str">
        <f t="shared" si="2"/>
        <v>[`What has impact on job performance`,``,``,``,``, ``,`&lt;p class='space'&gt;Cognitive ability * .44&lt;p class='space'&gt;conscientiousness *.22&lt;p class='space'&gt;emotional stability * .00`, `HRM360-CH03`],</v>
      </c>
    </row>
    <row r="97" spans="1:4" ht="75" hidden="1">
      <c r="A97" s="3" t="s">
        <v>320</v>
      </c>
      <c r="B97" s="5" t="s">
        <v>351</v>
      </c>
      <c r="C97" s="3" t="s">
        <v>1022</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`HRM360-CH03`],</v>
      </c>
    </row>
    <row r="98" spans="1:4" ht="75" hidden="1">
      <c r="A98" s="3" t="s">
        <v>321</v>
      </c>
      <c r="B98" s="5" t="s">
        <v>366</v>
      </c>
      <c r="C98" s="3" t="s">
        <v>1022</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`HRM360-CH03`],</v>
      </c>
    </row>
    <row r="99" spans="1:4" ht="60" hidden="1">
      <c r="A99" s="3" t="s">
        <v>337</v>
      </c>
      <c r="B99" s="5" t="s">
        <v>352</v>
      </c>
      <c r="C99" s="3" t="s">
        <v>1022</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`HRM360-CH03`],</v>
      </c>
    </row>
    <row r="100" spans="1:4" ht="60" hidden="1">
      <c r="A100" s="3" t="s">
        <v>353</v>
      </c>
      <c r="B100" s="5" t="s">
        <v>367</v>
      </c>
      <c r="C100" s="3" t="s">
        <v>1022</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`HRM360-CH03`],</v>
      </c>
    </row>
    <row r="101" spans="1:4" ht="60" hidden="1">
      <c r="A101" s="3" t="s">
        <v>322</v>
      </c>
      <c r="B101" s="5" t="s">
        <v>368</v>
      </c>
      <c r="C101" s="3" t="s">
        <v>1022</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`HRM360-CH03`],</v>
      </c>
    </row>
    <row r="102" spans="1:4" ht="45" hidden="1">
      <c r="A102" s="3" t="s">
        <v>338</v>
      </c>
      <c r="B102" s="5" t="s">
        <v>343</v>
      </c>
      <c r="C102" s="3" t="s">
        <v>1022</v>
      </c>
      <c r="D102" s="3" t="str">
        <f t="shared" si="3"/>
        <v>[`Locus of Control:`,``,``,``,``, ``,`&lt;p class='space'&gt;Locus of Control: Belief that the events in one’s life are mostly controlled either by oneself (internal) or by the situation or others (external) `, `HRM360-CH03`],</v>
      </c>
    </row>
    <row r="103" spans="1:4" ht="30" hidden="1">
      <c r="A103" s="3" t="s">
        <v>339</v>
      </c>
      <c r="B103" s="5" t="s">
        <v>344</v>
      </c>
      <c r="C103" s="3" t="s">
        <v>1022</v>
      </c>
      <c r="D103" s="3" t="str">
        <f t="shared" si="3"/>
        <v>[`CSE - core self-evaluation`,``,``,``,``, ``,`&lt;p class='space'&gt;A person’s core self-evaluation is the degree to which a person evaluates his/her self (or self-concept) positively&lt;p class='space'&gt; `, `HRM360-CH03`],</v>
      </c>
    </row>
    <row r="104" spans="1:4" ht="45" hidden="1">
      <c r="A104" s="3" t="s">
        <v>340</v>
      </c>
      <c r="B104" s="5" t="s">
        <v>345</v>
      </c>
      <c r="C104" s="3" t="s">
        <v>1022</v>
      </c>
      <c r="D104" s="3" t="str">
        <f t="shared" si="3"/>
        <v>[`Self-Esteem: `,``,``,``,``, ``,`&lt;p class='space'&gt;Self-Esteem: Overall feelings of self-worth; high self-esteem is associated with positive feelings and emphasizing strengths over weaknesses `, `HRM360-CH03`],</v>
      </c>
    </row>
    <row r="105" spans="1:4" ht="30" hidden="1">
      <c r="A105" s="3" t="s">
        <v>341</v>
      </c>
      <c r="B105" s="5" t="s">
        <v>346</v>
      </c>
      <c r="C105" s="3" t="s">
        <v>1022</v>
      </c>
      <c r="D105" s="3" t="str">
        <f t="shared" si="3"/>
        <v>[`Self-Efficacy:`,``,``,``,``, ``,`&lt;p class='space'&gt;Self-Efficacy: Overall belief of how effectively one can perform, cope, or succeed in various situations`, `HRM360-CH03`],</v>
      </c>
    </row>
    <row r="106" spans="1:4" ht="120" hidden="1">
      <c r="A106" s="3" t="s">
        <v>342</v>
      </c>
      <c r="B106" s="5" t="s">
        <v>347</v>
      </c>
      <c r="C106" s="3" t="s">
        <v>1022</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`HRM360-CH03`],</v>
      </c>
    </row>
    <row r="107" spans="1:4" ht="75" hidden="1">
      <c r="A107" s="3" t="s">
        <v>349</v>
      </c>
      <c r="B107" s="5" t="s">
        <v>350</v>
      </c>
      <c r="C107" s="3" t="s">
        <v>1022</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`HRM360-CH03`],</v>
      </c>
    </row>
    <row r="108" spans="1:4" hidden="1">
      <c r="A108" s="3" t="s">
        <v>354</v>
      </c>
      <c r="B108" s="5" t="s">
        <v>369</v>
      </c>
      <c r="C108" s="3" t="s">
        <v>1022</v>
      </c>
      <c r="D108" s="3" t="str">
        <f t="shared" si="3"/>
        <v>[`“Ideal Employee” Personality`,``,``,``,``, ``,`&lt;p class='space'&gt;There Is No “Ideal Employee” Personality`, `HRM360-CH03`],</v>
      </c>
    </row>
    <row r="109" spans="1:4" ht="90" hidden="1">
      <c r="A109" s="3" t="s">
        <v>355</v>
      </c>
      <c r="B109" s="5" t="s">
        <v>356</v>
      </c>
      <c r="C109" s="3" t="s">
        <v>1022</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`HRM360-CH03`],</v>
      </c>
    </row>
    <row r="110" spans="1:4" ht="75" hidden="1">
      <c r="A110" s="3" t="s">
        <v>357</v>
      </c>
      <c r="B110" s="5" t="s">
        <v>361</v>
      </c>
      <c r="C110" s="3" t="s">
        <v>1022</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`HRM360-CH03`],</v>
      </c>
    </row>
    <row r="111" spans="1:4" ht="30" hidden="1">
      <c r="A111" s="3" t="s">
        <v>358</v>
      </c>
      <c r="B111" s="5" t="s">
        <v>362</v>
      </c>
      <c r="C111" s="3" t="s">
        <v>1022</v>
      </c>
      <c r="D111" s="3" t="str">
        <f t="shared" si="3"/>
        <v>[`Core self-evaluations -  Self-esteem`,``,``,``,``, ``,`&lt;p class='space'&gt;Self-esteem is your general belief about your own self-worth. `, `HRM360-CH03`],</v>
      </c>
    </row>
    <row r="112" spans="1:4" ht="45" hidden="1">
      <c r="A112" s="3" t="s">
        <v>359</v>
      </c>
      <c r="B112" s="5" t="s">
        <v>363</v>
      </c>
      <c r="C112" s="3" t="s">
        <v>1022</v>
      </c>
      <c r="D112" s="3" t="str">
        <f t="shared" si="3"/>
        <v>[`Core self-evaluations - Locus of control`,``,``,``,``, ``,`&lt;p class='space'&gt;Locus of control is a relatively stable personality characteristic that describes how much personal responsibility we take for our behavior and its consequences. `, `HRM360-CH03`],</v>
      </c>
    </row>
    <row r="113" spans="1:4" ht="45" hidden="1">
      <c r="A113" s="3" t="s">
        <v>360</v>
      </c>
      <c r="B113" s="5" t="s">
        <v>364</v>
      </c>
      <c r="C113" s="3" t="s">
        <v>1022</v>
      </c>
      <c r="D113" s="3" t="str">
        <f t="shared" si="3"/>
        <v>[`Core self-evaluations - Emotional Stability`,``,``,``,``, ``,`&lt;p class='space'&gt; Individuals with high levels of emotional stability tend to be relaxed, secure, unworried, and less likely to experience negative emotions under pressure.`, `HRM360-CH03`],</v>
      </c>
    </row>
    <row r="114" spans="1:4" hidden="1">
      <c r="A114" s="5" t="s">
        <v>378</v>
      </c>
      <c r="B114" s="5" t="s">
        <v>379</v>
      </c>
      <c r="C114" s="3" t="s">
        <v>1022</v>
      </c>
      <c r="D114" s="3" t="str">
        <f t="shared" si="3"/>
        <v>[`Which Big 5 factors predict the following? Performance? `,``,``,``,``, ``,`&lt;p class='space'&gt;consciousness`, `HRM360-CH03`],</v>
      </c>
    </row>
    <row r="115" spans="1:4" hidden="1">
      <c r="A115" s="5" t="s">
        <v>377</v>
      </c>
      <c r="B115" s="5" t="s">
        <v>379</v>
      </c>
      <c r="C115" s="3" t="s">
        <v>1022</v>
      </c>
      <c r="D115" s="3" t="str">
        <f t="shared" si="3"/>
        <v>[`Which Big 5 factors predict the following? Occupational Success?`,``,``,``,``, ``,`&lt;p class='space'&gt;consciousness`, `HRM360-CH03`],</v>
      </c>
    </row>
    <row r="116" spans="1:4" ht="30" hidden="1">
      <c r="A116" s="5" t="s">
        <v>376</v>
      </c>
      <c r="B116" s="5" t="s">
        <v>381</v>
      </c>
      <c r="C116" s="3" t="s">
        <v>1022</v>
      </c>
      <c r="D116" s="3" t="str">
        <f t="shared" si="3"/>
        <v>[`Which Big 5 factors predict the following? Performance in social interactions?`,``,``,``,``, ``,`&lt;p class='space'&gt;extroversion`, `HRM360-CH03`],</v>
      </c>
    </row>
    <row r="117" spans="1:4" hidden="1">
      <c r="A117" s="3" t="s">
        <v>390</v>
      </c>
      <c r="B117" s="5" t="s">
        <v>381</v>
      </c>
      <c r="C117" s="3" t="s">
        <v>1022</v>
      </c>
      <c r="D117" s="3" t="str">
        <f t="shared" si="3"/>
        <v>[`Which Big 5 factors predict the following? Performance in customer service?`,``,``,``,``, ``,`&lt;p class='space'&gt;extroversion`, `HRM360-CH03`],</v>
      </c>
    </row>
    <row r="118" spans="1:4" hidden="1">
      <c r="A118" s="3" t="s">
        <v>391</v>
      </c>
      <c r="B118" s="5" t="s">
        <v>380</v>
      </c>
      <c r="C118" s="3" t="s">
        <v>1022</v>
      </c>
      <c r="D118" s="3" t="str">
        <f t="shared" si="3"/>
        <v>[`Which Big 5 factors predict the following? Team Performance?`,``,``,``,``, ``,`&lt;p class='space'&gt;consciousness  - agreeableness`, `HRM360-CH03`],</v>
      </c>
    </row>
    <row r="119" spans="1:4" hidden="1">
      <c r="A119" s="3" t="s">
        <v>392</v>
      </c>
      <c r="B119" s="5" t="s">
        <v>393</v>
      </c>
      <c r="C119" s="3" t="s">
        <v>1022</v>
      </c>
      <c r="D119" s="3" t="str">
        <f t="shared" si="3"/>
        <v>[`Which Big 5 factors predict the following? Emotional Support?`,``,``,``,``, ``,`&lt;p class='space'&gt; emotional stability - agreeableness`, `HRM360-CH03`],</v>
      </c>
    </row>
    <row r="120" spans="1:4" hidden="1">
      <c r="A120" s="3" t="s">
        <v>394</v>
      </c>
      <c r="B120" s="5" t="s">
        <v>382</v>
      </c>
      <c r="C120" s="3" t="s">
        <v>1022</v>
      </c>
      <c r="D120" s="3" t="str">
        <f t="shared" si="3"/>
        <v>[`Which Big 5 factors predict the following? Creativity or Innovation?`,``,``,``,``, ``,`&lt;p class='space'&gt;openness`, `HRM360-CH03`],</v>
      </c>
    </row>
    <row r="121" spans="1:4" hidden="1">
      <c r="A121" s="3" t="s">
        <v>395</v>
      </c>
      <c r="B121" s="5" t="s">
        <v>383</v>
      </c>
      <c r="C121" s="3" t="s">
        <v>1022</v>
      </c>
      <c r="D121" s="3" t="str">
        <f t="shared" si="3"/>
        <v>[`Which Big 5 factors predict the following? Helping Behavior?`,``,``,``,``, ``,`&lt;p class='space'&gt;agreeableness`, `HRM360-CH03`],</v>
      </c>
    </row>
    <row r="122" spans="1:4" hidden="1">
      <c r="A122" s="3" t="s">
        <v>396</v>
      </c>
      <c r="B122" s="5" t="s">
        <v>384</v>
      </c>
      <c r="C122" s="3" t="s">
        <v>1022</v>
      </c>
      <c r="D122" s="3" t="str">
        <f t="shared" si="3"/>
        <v>[`Which Big 5 factors predict the following? Burnout?`,``,``,``,``, ``,`&lt;p class='space'&gt;low emotional stability`, `HRM360-CH03`],</v>
      </c>
    </row>
    <row r="123" spans="1:4" hidden="1">
      <c r="A123" s="3" t="s">
        <v>397</v>
      </c>
      <c r="B123" s="5" t="s">
        <v>385</v>
      </c>
      <c r="C123" s="3" t="s">
        <v>1022</v>
      </c>
      <c r="D123" s="3" t="str">
        <f t="shared" si="3"/>
        <v>[`Which Big 5 factors predict the following? Transformational Leadership?`,``,``,``,``, ``,`&lt;p class='space'&gt;extroversion - agreeableness`, `HRM360-CH03`],</v>
      </c>
    </row>
    <row r="124" spans="1:4" ht="45" hidden="1">
      <c r="A124" s="3" t="s">
        <v>348</v>
      </c>
      <c r="B124" s="5" t="s">
        <v>365</v>
      </c>
      <c r="C124" s="3" t="s">
        <v>1023</v>
      </c>
      <c r="D124" s="3" t="str">
        <f t="shared" si="3"/>
        <v>[`Personality `,``,``,``,``, ``,`&lt;p class='space'&gt;Personality is the combination of stable physical, behavioral, and mental characteristics that gives individuals their unique identities. `, `HRM360-CH04`],</v>
      </c>
    </row>
    <row r="125" spans="1:4" ht="30" hidden="1">
      <c r="A125" s="3" t="s">
        <v>371</v>
      </c>
      <c r="B125" s="5" t="s">
        <v>374</v>
      </c>
      <c r="C125" s="3" t="s">
        <v>1023</v>
      </c>
      <c r="D125" s="3" t="str">
        <f t="shared" si="3"/>
        <v>[`Two tendencies specific to emotions:`,``,``,``,``, ``,`&lt;p class='space'&gt;positive affectivity and negative affectivity&lt;p class='space'&gt;these are fundamental differences between people`, `HRM360-CH04`],</v>
      </c>
    </row>
    <row r="126" spans="1:4" ht="45" hidden="1">
      <c r="A126" s="3" t="s">
        <v>372</v>
      </c>
      <c r="B126" s="5" t="s">
        <v>437</v>
      </c>
      <c r="C126" s="3" t="s">
        <v>1023</v>
      </c>
      <c r="D126" s="3" t="str">
        <f t="shared" si="3"/>
        <v>[`High positive affectivity vs low is characterized by:`,``,``,``,``, ``,`&lt;p class='space'&gt;High positive affectivity - excited-interested and active&lt;p class='space'&gt;Low positive affectivity - lack of positive emotions - depressed grouchy lethargic`, `HRM360-CH04`],</v>
      </c>
    </row>
    <row r="127" spans="1:4" ht="30" hidden="1">
      <c r="A127" s="3" t="s">
        <v>373</v>
      </c>
      <c r="B127" s="5" t="s">
        <v>375</v>
      </c>
      <c r="C127" s="3" t="s">
        <v>1023</v>
      </c>
      <c r="D127" s="3" t="str">
        <f t="shared" si="3"/>
        <v>[`High negative affectivity vs low is characterized by:`,``,``,``,``, ``,`&lt;p class='space'&gt;High Negative affectivity - rage irritable&lt;p class='space'&gt;low negative affectivity - serene calm`, `HRM360-CH04`],</v>
      </c>
    </row>
    <row r="128" spans="1:4" ht="45" hidden="1">
      <c r="A128" s="3" t="s">
        <v>438</v>
      </c>
      <c r="B128" s="5" t="s">
        <v>439</v>
      </c>
      <c r="C128" s="3" t="s">
        <v>1023</v>
      </c>
      <c r="D128" s="3" t="str">
        <f t="shared" si="3"/>
        <v>[`How can one's emotional intelligence be altered.`,``,``,``,``, ``,`&lt;p class='space'&gt;EQ (emotional intelligence can be altered by putting one into situations that require the application of EQ. Repeated practice so to speak.`, `HRM360-CH04`],</v>
      </c>
    </row>
    <row r="129" spans="1:4" hidden="1">
      <c r="A129" s="3" t="s">
        <v>386</v>
      </c>
      <c r="B129" s="5" t="s">
        <v>388</v>
      </c>
      <c r="C129" s="3" t="s">
        <v>1023</v>
      </c>
      <c r="D129" s="3" t="str">
        <f t="shared" si="3"/>
        <v>[`Determining attitudes vs values which is easier `,``,``,``,``, ``,`&lt;p class='space'&gt;Attitudes are much easier to see`, `HRM360-CH04`],</v>
      </c>
    </row>
    <row r="130" spans="1:4" ht="75" hidden="1">
      <c r="A130" s="5" t="s">
        <v>387</v>
      </c>
      <c r="B130" s="5" t="s">
        <v>389</v>
      </c>
      <c r="C130" s="3" t="s">
        <v>1023</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`HRM360-CH04`],</v>
      </c>
    </row>
    <row r="131" spans="1:4" ht="60" hidden="1">
      <c r="A131" s="3" t="s">
        <v>398</v>
      </c>
      <c r="B131" s="5" t="s">
        <v>404</v>
      </c>
      <c r="C131" s="3" t="s">
        <v>1023</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`HRM360-CH04`],</v>
      </c>
    </row>
    <row r="132" spans="1:4" ht="45" hidden="1">
      <c r="A132" s="3" t="s">
        <v>399</v>
      </c>
      <c r="B132" s="5" t="s">
        <v>402</v>
      </c>
      <c r="C132" s="3" t="s">
        <v>1023</v>
      </c>
      <c r="D132" s="3" t="str">
        <f t="shared" si="4"/>
        <v>[`The fundamental attribution bias`,``,``,``,``, ``,`&lt;p class='space'&gt;The fundamental attribution bias reflects our tendency to attribute another person’s behavior to his or her personal characteristics, rather than to situation factors. `, `HRM360-CH04`],</v>
      </c>
    </row>
    <row r="133" spans="1:4" ht="30" hidden="1">
      <c r="A133" s="3" t="s">
        <v>400</v>
      </c>
      <c r="B133" s="5" t="s">
        <v>431</v>
      </c>
      <c r="C133" s="3" t="s">
        <v>1023</v>
      </c>
      <c r="D133" s="3" t="str">
        <f t="shared" si="4"/>
        <v>[`Self-serving Bias`,``,``,``,``, ``,`&lt;p class='space'&gt;One's tendency to take credit for success and deny blame for failure`, `HRM360-CH04`],</v>
      </c>
    </row>
    <row r="134" spans="1:4" ht="75" hidden="1">
      <c r="A134" s="3" t="s">
        <v>401</v>
      </c>
      <c r="B134" s="5" t="s">
        <v>403</v>
      </c>
      <c r="C134" s="3" t="s">
        <v>1023</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`HRM360-CH04`],</v>
      </c>
    </row>
    <row r="135" spans="1:4" ht="105" hidden="1">
      <c r="A135" s="3" t="s">
        <v>405</v>
      </c>
      <c r="B135" s="5" t="s">
        <v>407</v>
      </c>
      <c r="C135" s="3" t="s">
        <v>1023</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`HRM360-CH04`],</v>
      </c>
    </row>
    <row r="136" spans="1:4" ht="60" hidden="1">
      <c r="A136" s="3" t="s">
        <v>406</v>
      </c>
      <c r="B136" s="5" t="s">
        <v>408</v>
      </c>
      <c r="C136" s="3" t="s">
        <v>1023</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`HRM360-CH04`],</v>
      </c>
    </row>
    <row r="137" spans="1:4" ht="105" hidden="1">
      <c r="A137" s="3" t="s">
        <v>409</v>
      </c>
      <c r="B137" s="5" t="s">
        <v>414</v>
      </c>
      <c r="C137" s="3" t="s">
        <v>1023</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`HRM360-CH04`],</v>
      </c>
    </row>
    <row r="138" spans="1:4" ht="60" hidden="1">
      <c r="A138" s="5" t="s">
        <v>410</v>
      </c>
      <c r="B138" s="5" t="s">
        <v>415</v>
      </c>
      <c r="C138" s="3" t="s">
        <v>1023</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`HRM360-CH04`],</v>
      </c>
    </row>
    <row r="139" spans="1:4" ht="60" hidden="1">
      <c r="A139" s="3" t="s">
        <v>417</v>
      </c>
      <c r="B139" s="5" t="s">
        <v>411</v>
      </c>
      <c r="C139" s="3" t="s">
        <v>1023</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`HRM360-CH04`],</v>
      </c>
    </row>
    <row r="140" spans="1:4" ht="45" hidden="1">
      <c r="A140" s="3" t="s">
        <v>418</v>
      </c>
      <c r="B140" s="5" t="s">
        <v>412</v>
      </c>
      <c r="C140" s="3" t="s">
        <v>1023</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`HRM360-CH04`],</v>
      </c>
    </row>
    <row r="141" spans="1:4" ht="90" hidden="1">
      <c r="A141" s="3" t="s">
        <v>413</v>
      </c>
      <c r="B141" s="5" t="s">
        <v>416</v>
      </c>
      <c r="C141" s="3" t="s">
        <v>1023</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`HRM360-CH04`],</v>
      </c>
    </row>
    <row r="142" spans="1:4" ht="30" hidden="1">
      <c r="A142" s="3" t="s">
        <v>420</v>
      </c>
      <c r="B142" s="5" t="s">
        <v>419</v>
      </c>
      <c r="C142" s="3" t="s">
        <v>1023</v>
      </c>
      <c r="D142" s="3" t="str">
        <f t="shared" si="4"/>
        <v>[`Fundamental attribution error also:`,``,``,``,``, ``,`&lt;p class='space'&gt;Fundamental attribution error (a.k.a., the correspondence bias):`, `HRM360-CH04`],</v>
      </c>
    </row>
    <row r="143" spans="1:4" ht="105" hidden="1">
      <c r="A143" s="3" t="s">
        <v>421</v>
      </c>
      <c r="B143" s="5" t="s">
        <v>444</v>
      </c>
      <c r="C143" s="3" t="s">
        <v>1023</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`HRM360-CH04`],</v>
      </c>
    </row>
    <row r="144" spans="1:4" ht="30" hidden="1">
      <c r="A144" s="3" t="s">
        <v>422</v>
      </c>
      <c r="B144" s="5" t="s">
        <v>423</v>
      </c>
      <c r="C144" s="3" t="s">
        <v>1023</v>
      </c>
      <c r="D144" s="3" t="str">
        <f t="shared" si="4"/>
        <v>[`Difference between self serving bias and attribution bias`,``,``,``,``, ``,`&lt;p class='space'&gt;self serving bias, why I failed&lt;p class='space'&gt;attribution bias, why someone else failed`, `HRM360-CH04`],</v>
      </c>
    </row>
    <row r="145" spans="1:4" ht="30" hidden="1">
      <c r="A145" s="3" t="s">
        <v>424</v>
      </c>
      <c r="B145" s="5" t="s">
        <v>440</v>
      </c>
      <c r="C145" s="3" t="s">
        <v>1023</v>
      </c>
      <c r="D145" s="3" t="str">
        <f t="shared" si="4"/>
        <v>[`Inner locus of control `,``,``,``,``, ``,`&lt;p class='space'&gt;Individuals like this are more likely to accept responsivities for positives and negatives that happen to them.`, `HRM360-CH04`],</v>
      </c>
    </row>
    <row r="146" spans="1:4" ht="150" hidden="1">
      <c r="A146" s="3" t="s">
        <v>433</v>
      </c>
      <c r="B146" s="5" t="s">
        <v>441</v>
      </c>
      <c r="C146" s="3" t="s">
        <v>1023</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`HRM360-CH04`],</v>
      </c>
    </row>
    <row r="147" spans="1:4" ht="195" hidden="1">
      <c r="A147" s="3" t="s">
        <v>426</v>
      </c>
      <c r="B147" s="5" t="s">
        <v>425</v>
      </c>
      <c r="C147" s="3" t="s">
        <v>1023</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`HRM360-CH04`],</v>
      </c>
    </row>
    <row r="148" spans="1:4" ht="60" hidden="1">
      <c r="A148" s="3" t="s">
        <v>427</v>
      </c>
      <c r="B148" s="5" t="s">
        <v>428</v>
      </c>
      <c r="C148" s="3" t="s">
        <v>1023</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`HRM360-CH04`],</v>
      </c>
    </row>
    <row r="149" spans="1:4" ht="90" hidden="1">
      <c r="A149" s="3" t="s">
        <v>430</v>
      </c>
      <c r="B149" s="5" t="s">
        <v>429</v>
      </c>
      <c r="C149" s="3" t="s">
        <v>1023</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`HRM360-CH04`],</v>
      </c>
    </row>
    <row r="150" spans="1:4" ht="30" hidden="1">
      <c r="A150" s="5" t="s">
        <v>434</v>
      </c>
      <c r="B150" s="5" t="s">
        <v>435</v>
      </c>
      <c r="C150" s="3" t="s">
        <v>1023</v>
      </c>
      <c r="D150" s="3" t="str">
        <f t="shared" si="4"/>
        <v>[` Causal Attributions`,``,``,``,``, ``,`&lt;p class='space'&gt;Causal attributions are suspected or inferred causes of behavior. `, `HRM360-CH04`],</v>
      </c>
    </row>
    <row r="151" spans="1:4" ht="30" hidden="1">
      <c r="A151" s="3" t="s">
        <v>432</v>
      </c>
      <c r="B151" s="5" t="s">
        <v>436</v>
      </c>
      <c r="C151" s="3" t="s">
        <v>1023</v>
      </c>
      <c r="D151" s="3" t="str">
        <f t="shared" si="4"/>
        <v>[`Diversity`,``,``,``,``, ``,`&lt;p class='space'&gt;Diversity pertains to the host of individual differences that make each of us unique and different from all others.`, `HRM360-CH04`],</v>
      </c>
    </row>
    <row r="152" spans="1:4" ht="30" hidden="1">
      <c r="A152" s="3" t="s">
        <v>75</v>
      </c>
      <c r="B152" s="5" t="s">
        <v>199</v>
      </c>
      <c r="C152" s="3" t="s">
        <v>1024</v>
      </c>
      <c r="D152" s="3" t="str">
        <f t="shared" si="4"/>
        <v>[`Extrinsic motivation`,``,``,``,``, ``,`&lt;p class='space'&gt;results from the potential or actual receipt of external rewards`, `HRM360-CH05`],</v>
      </c>
    </row>
    <row r="153" spans="1:4" ht="30" hidden="1">
      <c r="A153" s="3" t="s">
        <v>79</v>
      </c>
      <c r="B153" s="5" t="s">
        <v>200</v>
      </c>
      <c r="C153" s="3" t="s">
        <v>1024</v>
      </c>
      <c r="D153" s="3" t="str">
        <f t="shared" si="4"/>
        <v>[`Intrinsic motivation `,``,``,``,``, ``,`&lt;p class='space'&gt;occurs when an individual is inspired by “the positive internal feelings that are generated by doing well,`, `HRM360-CH05`],</v>
      </c>
    </row>
    <row r="154" spans="1:4" ht="75" hidden="1">
      <c r="A154" s="3" t="s">
        <v>80</v>
      </c>
      <c r="B154" s="5" t="s">
        <v>201</v>
      </c>
      <c r="C154" s="3" t="s">
        <v>1024</v>
      </c>
      <c r="D154"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`HRM360-CH05`],</v>
      </c>
    </row>
    <row r="155" spans="1:4" ht="105" hidden="1">
      <c r="A155" s="3" t="s">
        <v>81</v>
      </c>
      <c r="B155" s="5" t="s">
        <v>202</v>
      </c>
      <c r="C155" s="3" t="s">
        <v>1024</v>
      </c>
      <c r="D155"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`HRM360-CH05`],</v>
      </c>
    </row>
    <row r="156" spans="1:4" ht="60" hidden="1">
      <c r="A156" s="3" t="s">
        <v>82</v>
      </c>
      <c r="B156" s="5" t="s">
        <v>190</v>
      </c>
      <c r="C156" s="3" t="s">
        <v>1024</v>
      </c>
      <c r="D156"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`HRM360-CH05`],</v>
      </c>
    </row>
    <row r="157" spans="1:4" ht="90" hidden="1">
      <c r="A157" s="3" t="s">
        <v>83</v>
      </c>
      <c r="B157" s="5" t="s">
        <v>195</v>
      </c>
      <c r="C157" s="3" t="s">
        <v>1024</v>
      </c>
      <c r="D157"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`HRM360-CH05`],</v>
      </c>
    </row>
    <row r="158" spans="1:4" ht="135" hidden="1">
      <c r="A158" s="3" t="s">
        <v>84</v>
      </c>
      <c r="B158" s="5" t="s">
        <v>191</v>
      </c>
      <c r="C158" s="3" t="s">
        <v>1024</v>
      </c>
      <c r="D158"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`HRM360-CH05`],</v>
      </c>
    </row>
    <row r="159" spans="1:4" hidden="1">
      <c r="A159" s="3" t="s">
        <v>85</v>
      </c>
      <c r="B159" s="5" t="s">
        <v>203</v>
      </c>
      <c r="C159" s="3" t="s">
        <v>1024</v>
      </c>
      <c r="D159" s="3" t="str">
        <f t="shared" si="4"/>
        <v>[`Maslow's need - Physiological`,``,``,``,``, ``,`&lt;p class='space'&gt;Most basic need - food, air, and water to survive`, `HRM360-CH05`],</v>
      </c>
    </row>
    <row r="160" spans="1:4" hidden="1">
      <c r="A160" s="3" t="s">
        <v>86</v>
      </c>
      <c r="B160" s="5" t="s">
        <v>204</v>
      </c>
      <c r="C160" s="3" t="s">
        <v>1024</v>
      </c>
      <c r="D160" s="3" t="str">
        <f t="shared" si="4"/>
        <v>[`Maslow's need - Safety`,``,``,``,``, ``,`&lt;p class='space'&gt;Safe from physical and psychological harm`, `HRM360-CH05`],</v>
      </c>
    </row>
    <row r="161" spans="1:4" ht="30" hidden="1">
      <c r="A161" s="3" t="s">
        <v>87</v>
      </c>
      <c r="B161" s="5" t="s">
        <v>323</v>
      </c>
      <c r="C161" s="3" t="s">
        <v>1024</v>
      </c>
      <c r="D161" s="3" t="str">
        <f t="shared" si="4"/>
        <v>[`Maslow's need - love`,``,``,``,``, ``,`&lt;p class='space'&gt;desire to be loved and to love - needs for affection and belonging`, `HRM360-CH05`],</v>
      </c>
    </row>
    <row r="162" spans="1:4" ht="30" hidden="1">
      <c r="A162" s="3" t="s">
        <v>88</v>
      </c>
      <c r="B162" s="5" t="s">
        <v>324</v>
      </c>
      <c r="C162" s="3" t="s">
        <v>1024</v>
      </c>
      <c r="D162" s="3" t="str">
        <f t="shared" ref="D162:D189" si="5">"[`" &amp; A162 &amp; "`,``,``,``,``, ``,`"  &amp; B162 &amp; "`, `" &amp; C162 &amp; "`]" &amp; IF(C163&lt;&gt;"",",","")</f>
        <v>[`Maslow's need - Esteem`,``,``,``,``, ``,`&lt;p class='space'&gt;Need for reputation, prestige, and recognition from others. Included need for self-confidence and strength`, `HRM360-CH05`],</v>
      </c>
    </row>
    <row r="163" spans="1:4" ht="30" hidden="1">
      <c r="A163" s="3" t="s">
        <v>192</v>
      </c>
      <c r="B163" s="5" t="s">
        <v>205</v>
      </c>
      <c r="C163" s="3" t="s">
        <v>1024</v>
      </c>
      <c r="D163" s="3" t="str">
        <f t="shared" si="5"/>
        <v>[`Maslow's need - Self-Actualization`,``,``,``,``, ``,`&lt;p class='space'&gt;Desire for self fulfillment - to become the best one is capable of becoming.`, `HRM360-CH05`],</v>
      </c>
    </row>
    <row r="164" spans="1:4" ht="90" hidden="1">
      <c r="A164" s="3" t="s">
        <v>449</v>
      </c>
      <c r="B164" s="5" t="s">
        <v>325</v>
      </c>
      <c r="C164" s="3" t="s">
        <v>1024</v>
      </c>
      <c r="D164"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`HRM360-CH05`],</v>
      </c>
    </row>
    <row r="165" spans="1:4" ht="90" hidden="1">
      <c r="A165" s="3" t="s">
        <v>326</v>
      </c>
      <c r="B165" s="5" t="s">
        <v>206</v>
      </c>
      <c r="C165" s="3" t="s">
        <v>1024</v>
      </c>
      <c r="D165"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`HRM360-CH05`],</v>
      </c>
    </row>
    <row r="166" spans="1:4" ht="105" hidden="1">
      <c r="A166" s="3" t="s">
        <v>89</v>
      </c>
      <c r="B166" s="5" t="s">
        <v>207</v>
      </c>
      <c r="C166" s="3" t="s">
        <v>1024</v>
      </c>
      <c r="D166"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`HRM360-CH05`],</v>
      </c>
    </row>
    <row r="167" spans="1:4" ht="105" hidden="1">
      <c r="A167" s="3" t="s">
        <v>90</v>
      </c>
      <c r="B167" s="5" t="s">
        <v>267</v>
      </c>
      <c r="C167" s="3" t="s">
        <v>1024</v>
      </c>
      <c r="D167"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`HRM360-CH05`],</v>
      </c>
    </row>
    <row r="168" spans="1:4" ht="45" hidden="1">
      <c r="A168" s="3" t="s">
        <v>91</v>
      </c>
      <c r="B168" s="5" t="s">
        <v>208</v>
      </c>
      <c r="C168" s="3" t="s">
        <v>1024</v>
      </c>
      <c r="D168" s="3" t="str">
        <f t="shared" si="5"/>
        <v>[`Need for affiliation.`,``,``,``,``, ``,`&lt;p class='space'&gt;Need for affiliation. People motivated by the need for affiliation like to work in teams and in organizational climates characterized as cooperative and collegial. `, `HRM360-CH05`],</v>
      </c>
    </row>
    <row r="169" spans="1:4" ht="30" hidden="1">
      <c r="A169" s="3" t="s">
        <v>92</v>
      </c>
      <c r="B169" s="5" t="s">
        <v>209</v>
      </c>
      <c r="C169" s="3" t="s">
        <v>1024</v>
      </c>
      <c r="D169" s="3" t="str">
        <f t="shared" si="5"/>
        <v>[`Need for power.`,``,``,``,``, ``,`&lt;p class='space'&gt;Need for power. People with a high need for power like to be in charge. They enjoy coaching and helping others develop. `, `HRM360-CH05`],</v>
      </c>
    </row>
    <row r="170" spans="1:4" ht="120" hidden="1">
      <c r="A170" s="3" t="s">
        <v>93</v>
      </c>
      <c r="B170" s="5" t="s">
        <v>210</v>
      </c>
      <c r="C170" s="3" t="s">
        <v>1024</v>
      </c>
      <c r="D170"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`HRM360-CH05`],</v>
      </c>
    </row>
    <row r="171" spans="1:4" ht="90" hidden="1">
      <c r="A171" s="3" t="s">
        <v>94</v>
      </c>
      <c r="B171" s="5" t="s">
        <v>211</v>
      </c>
      <c r="C171" s="3" t="s">
        <v>1024</v>
      </c>
      <c r="D171"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`HRM360-CH05`],</v>
      </c>
    </row>
    <row r="172" spans="1:4" ht="165" hidden="1">
      <c r="A172" s="3" t="s">
        <v>95</v>
      </c>
      <c r="B172" s="5" t="s">
        <v>212</v>
      </c>
      <c r="C172" s="3" t="s">
        <v>1024</v>
      </c>
      <c r="D172"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`HRM360-CH05`],</v>
      </c>
    </row>
    <row r="173" spans="1:4" ht="150" hidden="1">
      <c r="A173" s="3" t="s">
        <v>96</v>
      </c>
      <c r="B173" s="5" t="s">
        <v>213</v>
      </c>
      <c r="C173" s="3" t="s">
        <v>1024</v>
      </c>
      <c r="D173"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`HRM360-CH05`],</v>
      </c>
    </row>
    <row r="174" spans="1:4" ht="75" hidden="1">
      <c r="A174" s="3" t="s">
        <v>97</v>
      </c>
      <c r="B174" s="5" t="s">
        <v>214</v>
      </c>
      <c r="C174" s="3" t="s">
        <v>1024</v>
      </c>
      <c r="D174"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`HRM360-CH05`],</v>
      </c>
    </row>
    <row r="175" spans="1:4" hidden="1">
      <c r="A175" s="3" t="s">
        <v>442</v>
      </c>
      <c r="C175" s="3" t="s">
        <v>1024</v>
      </c>
      <c r="D175" s="3" t="str">
        <f t="shared" si="5"/>
        <v>[`*Expectancy theory`,``,``,``,``, ``,``, `HRM360-CH05`],</v>
      </c>
    </row>
    <row r="176" spans="1:4" ht="90" hidden="1">
      <c r="A176" s="3" t="s">
        <v>443</v>
      </c>
      <c r="B176" s="5" t="s">
        <v>445</v>
      </c>
      <c r="C176" s="3" t="s">
        <v>1024</v>
      </c>
      <c r="D176" s="3" t="str">
        <f t="shared" si="5"/>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`HRM360-CH05`],</v>
      </c>
    </row>
    <row r="177" spans="1:4" ht="75" hidden="1">
      <c r="A177" s="3" t="s">
        <v>447</v>
      </c>
      <c r="B177" s="5" t="s">
        <v>454</v>
      </c>
      <c r="C177" s="3" t="s">
        <v>1024</v>
      </c>
      <c r="D177" s="3" t="str">
        <f t="shared" si="5"/>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`HRM360-CH05`],</v>
      </c>
    </row>
    <row r="178" spans="1:4" ht="30" hidden="1">
      <c r="A178" s="3" t="s">
        <v>446</v>
      </c>
      <c r="B178" s="5" t="s">
        <v>455</v>
      </c>
      <c r="C178" s="3" t="s">
        <v>1024</v>
      </c>
      <c r="D178" s="3" t="str">
        <f t="shared" si="5"/>
        <v>[`Output intrinsic vs extrinsic motivation`,``,``,``,``, ``,`&lt;p class='space'&gt;Studies find intrinsic motivation leads to higher quality work, and extrinsic to higher quantity `, `HRM360-CH05`],</v>
      </c>
    </row>
    <row r="179" spans="1:4" ht="75" hidden="1">
      <c r="A179" s="3" t="s">
        <v>448</v>
      </c>
      <c r="B179" s="5" t="s">
        <v>456</v>
      </c>
      <c r="C179" s="3" t="s">
        <v>1024</v>
      </c>
      <c r="D179" s="3" t="str">
        <f t="shared" si="5"/>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`HRM360-CH05`],</v>
      </c>
    </row>
    <row r="180" spans="1:4" ht="60" hidden="1">
      <c r="A180" s="3" t="s">
        <v>450</v>
      </c>
      <c r="B180" s="5" t="s">
        <v>451</v>
      </c>
      <c r="C180" s="3" t="s">
        <v>1024</v>
      </c>
      <c r="D180" s="3" t="str">
        <f t="shared" si="5"/>
        <v>[`SDT - CAR`,``,``,``,``, ``,`&lt;p class='space'&gt;Self-determination theory finds that people are more intrinsically motivated to do things that help them meet three fundamental human needs:&lt;p class='space'&gt;(1) autonomy&lt;p class='space'&gt;(2) competence&lt;p class='space'&gt;(3)relatedness `, `HRM360-CH05`],</v>
      </c>
    </row>
    <row r="181" spans="1:4" ht="135" hidden="1">
      <c r="A181" s="3" t="s">
        <v>452</v>
      </c>
      <c r="B181" s="5" t="s">
        <v>457</v>
      </c>
      <c r="C181" s="3" t="s">
        <v>1024</v>
      </c>
      <c r="D181" s="3" t="str">
        <f t="shared" si="5"/>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`HRM360-CH05`],</v>
      </c>
    </row>
    <row r="182" spans="1:4" ht="105" hidden="1">
      <c r="A182" s="3" t="s">
        <v>453</v>
      </c>
      <c r="B182" s="5" t="s">
        <v>458</v>
      </c>
      <c r="C182" s="3" t="s">
        <v>1024</v>
      </c>
      <c r="D182" s="3" t="str">
        <f t="shared" si="5"/>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`HRM360-CH05`],</v>
      </c>
    </row>
    <row r="183" spans="1:4" ht="30" hidden="1">
      <c r="A183" s="3" t="s">
        <v>459</v>
      </c>
      <c r="B183" s="5" t="s">
        <v>461</v>
      </c>
      <c r="C183" s="3" t="s">
        <v>1024</v>
      </c>
      <c r="D183" s="3" t="str">
        <f t="shared" si="5"/>
        <v>[`Motivation and equity theory`,``,``,``,``, ``,`&lt;p class='space'&gt;Equity theory, people are motivated based on their perceptions of the fairness of those exchanges`, `HRM360-CH05`],</v>
      </c>
    </row>
    <row r="184" spans="1:4" ht="75" hidden="1">
      <c r="A184" s="3" t="s">
        <v>460</v>
      </c>
      <c r="B184" s="5" t="s">
        <v>462</v>
      </c>
      <c r="C184" s="3" t="s">
        <v>1024</v>
      </c>
      <c r="D184" s="3" t="str">
        <f t="shared" si="5"/>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`HRM360-CH05`],</v>
      </c>
    </row>
    <row r="185" spans="1:4" ht="105" hidden="1">
      <c r="A185" s="3" t="s">
        <v>463</v>
      </c>
      <c r="B185" s="5" t="s">
        <v>464</v>
      </c>
      <c r="C185" s="3" t="s">
        <v>1024</v>
      </c>
      <c r="D185" s="3" t="str">
        <f t="shared" si="5"/>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`HRM360-CH05`],</v>
      </c>
    </row>
    <row r="186" spans="1:4" ht="105" hidden="1">
      <c r="A186" s="3" t="s">
        <v>460</v>
      </c>
      <c r="B186" s="5" t="s">
        <v>466</v>
      </c>
      <c r="C186" s="3" t="s">
        <v>1024</v>
      </c>
      <c r="D186" s="3" t="str">
        <f t="shared" si="5"/>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`HRM360-CH05`],</v>
      </c>
    </row>
    <row r="187" spans="1:4" ht="165" hidden="1">
      <c r="A187" s="3" t="s">
        <v>465</v>
      </c>
      <c r="B187" s="5" t="s">
        <v>467</v>
      </c>
      <c r="C187" s="3" t="s">
        <v>1024</v>
      </c>
      <c r="D187" s="3" t="str">
        <f t="shared" si="5"/>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`HRM360-CH05`],</v>
      </c>
    </row>
    <row r="188" spans="1:4" ht="150" hidden="1">
      <c r="A188" s="3" t="s">
        <v>468</v>
      </c>
      <c r="B188" s="5" t="s">
        <v>469</v>
      </c>
      <c r="C188" s="3" t="s">
        <v>1024</v>
      </c>
      <c r="D188" s="3" t="str">
        <f t="shared" si="5"/>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`HRM360-CH05`],</v>
      </c>
    </row>
    <row r="189" spans="1:4" ht="90" hidden="1">
      <c r="A189" s="3" t="s">
        <v>471</v>
      </c>
      <c r="B189" s="5" t="s">
        <v>470</v>
      </c>
      <c r="C189" s="3" t="s">
        <v>1024</v>
      </c>
      <c r="D189" s="3" t="str">
        <f t="shared" si="5"/>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`HRM360-CH05`],</v>
      </c>
    </row>
    <row r="190" spans="1:4" ht="75">
      <c r="A190" s="3" t="s">
        <v>472</v>
      </c>
      <c r="B190" s="5" t="s">
        <v>937</v>
      </c>
      <c r="C190" s="3" t="s">
        <v>1019</v>
      </c>
      <c r="D190" s="3" t="str">
        <f>"[`" &amp; A190 &amp; "`,``,``,``,``, ``,`"  &amp; B190 &amp; "`, `" &amp; C190 &amp; "`]" &amp; IF(C191&lt;&gt;"",",","")</f>
        <v>[`What is performance management?`,``,``,``,``, ``,`&lt;p class='space'&gt;Performance management (PM) is a set of processes and managerial behaviors that include:&lt;p class='space'&gt; (1) Defining, &lt;p class='space'&gt; (2) Monitoring, &lt;p class='space'&gt; (3) Measuring, evaluating, and &lt;p class='space'&gt; (4) Providing consequences for performance expectations.`, `HRM360-CH06`],</v>
      </c>
    </row>
    <row r="191" spans="1:4" ht="60">
      <c r="A191" s="3" t="s">
        <v>899</v>
      </c>
      <c r="B191" s="5" t="s">
        <v>476</v>
      </c>
      <c r="C191" s="3" t="s">
        <v>1019</v>
      </c>
      <c r="D191" s="3" t="str">
        <f>"[`"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`HRM360-CH06`],</v>
      </c>
    </row>
    <row r="192" spans="1:4" ht="45">
      <c r="A192" s="3" t="s">
        <v>477</v>
      </c>
      <c r="B192" s="5" t="s">
        <v>911</v>
      </c>
      <c r="C192" s="3" t="s">
        <v>1019</v>
      </c>
      <c r="D192" s="3" t="str">
        <f>"[`" &amp; A192 &amp; "`,``,``,``,``, ``,`"  &amp; B192 &amp; "`, `" &amp; C192 &amp; "`]" &amp; IF(C193&lt;&gt;"",",","")</f>
        <v>[`Three issues with performance management:`,``,``,``,``, ``,`&lt;p class='space'&gt;(1) performance management practices are often obsolete.&lt;p class='space'&gt;(2) performance management is time consuming.&lt;p class='space'&gt;(3) performance reviews are too narrow.`, `HRM360-CH06`],</v>
      </c>
    </row>
    <row r="193" spans="1:4" ht="30">
      <c r="A193" s="3" t="s">
        <v>912</v>
      </c>
      <c r="B193" s="5" t="s">
        <v>938</v>
      </c>
      <c r="C193" s="3" t="s">
        <v>1019</v>
      </c>
      <c r="D193" s="3" t="str">
        <f>"[`" &amp; A193 &amp; "`,``,``,``,``, ``,`"  &amp; B193 &amp; "`, `" &amp; C193 &amp; "`]" &amp; IF(C194&lt;&gt;"",",","")</f>
        <v>[`Coaching is: `,``,``,``,``, ``,`&lt;p class='space'&gt; A customized process between two or more people with the intent of enhancing learning and motivating change`, `HRM360-CH06`],</v>
      </c>
    </row>
    <row r="194" spans="1:4" ht="90">
      <c r="A194" s="3" t="s">
        <v>882</v>
      </c>
      <c r="B194" s="5" t="s">
        <v>939</v>
      </c>
      <c r="C194" s="3" t="s">
        <v>1019</v>
      </c>
      <c r="D194" s="3" t="str">
        <f>"[`" &amp; A194 &amp; "`,``,``,``,``, ``,`"  &amp; B194 &amp; "`, `" &amp; C194 &amp; "`]" &amp; IF(C195&lt;&gt;"",",","")</f>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`HRM360-CH06`],</v>
      </c>
    </row>
    <row r="195" spans="1:4" ht="45">
      <c r="A195" s="3" t="s">
        <v>883</v>
      </c>
      <c r="B195" s="5" t="s">
        <v>893</v>
      </c>
      <c r="C195" s="3" t="s">
        <v>1019</v>
      </c>
      <c r="D195" s="3" t="str">
        <f>"[`" &amp; A195 &amp; "`,``,``,``,``, ``,`"  &amp; B195 &amp; "`, `" &amp; C195 &amp; "`]" &amp; IF(C196&lt;&gt;"",",","")</f>
        <v>[`Three components of operant conditioning:`,``,``,``,``, ``,`&lt;p class='space'&gt;(1) A stimulus in the environment cues attention to a behavior&lt;p class='space'&gt;(2) Behavior occurs in response to a stimulus&lt;p class='space'&gt;(3) Outcomes are the consequences of our behavior `, `HRM360-CH06`],</v>
      </c>
    </row>
    <row r="196" spans="1:4" ht="30">
      <c r="A196" s="3" t="s">
        <v>940</v>
      </c>
      <c r="B196" s="5" t="s">
        <v>920</v>
      </c>
      <c r="C196" s="3" t="s">
        <v>1019</v>
      </c>
      <c r="D196" s="3" t="str">
        <f>"[`" &amp; A196 &amp; "`,``,``,``,``, ``,`"  &amp; B196 &amp; "`, `" &amp; C196 &amp; "`]" &amp; IF(C197&lt;&gt;"",",","")</f>
        <v>[`Learning - Reinforcement: `,``,``,``,``, ``,`&lt;p class='space'&gt;Enhances desirable behavior by giving positive consequences, or withholding negative ones`, `HRM360-CH06`],</v>
      </c>
    </row>
    <row r="197" spans="1:4" ht="60">
      <c r="A197" s="3" t="s">
        <v>941</v>
      </c>
      <c r="B197" s="5" t="s">
        <v>924</v>
      </c>
      <c r="C197" s="3" t="s">
        <v>1019</v>
      </c>
      <c r="D197" s="3" t="str">
        <f>"[`" &amp; A197 &amp; "`,``,``,``,``, ``,`"  &amp; B197 &amp; "`, `" &amp; C197 &amp; "`]" &amp; IF(C198&lt;&gt;"",",","")</f>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 `HRM360-CH06`],</v>
      </c>
    </row>
    <row r="198" spans="1:4" ht="30">
      <c r="A198" s="3" t="s">
        <v>942</v>
      </c>
      <c r="B198" s="5" t="s">
        <v>894</v>
      </c>
      <c r="C198" s="3" t="s">
        <v>1019</v>
      </c>
      <c r="D198" s="3" t="str">
        <f>"[`" &amp; A198 &amp; "`,``,``,``,``, ``,`"  &amp; B198 &amp; "`, `" &amp; C198 &amp; "`]" &amp; IF(C199&lt;&gt;"",",","")</f>
        <v>[`Learning - Punishment`,``,``,``,``, ``,`&lt;p class='space'&gt;Discourage undesirable behaviors by giving negative consequences or withholding positive consequences`, `HRM360-CH06`],</v>
      </c>
    </row>
    <row r="199" spans="1:4" ht="30">
      <c r="A199" s="5" t="s">
        <v>914</v>
      </c>
      <c r="B199" s="5" t="s">
        <v>895</v>
      </c>
      <c r="C199" s="3" t="s">
        <v>1019</v>
      </c>
      <c r="D199" s="3" t="str">
        <f>"[`" &amp; A199 &amp; "`,``,``,``,``, ``,`"  &amp; B199 &amp; "`, `" &amp; C199 &amp; "`]" &amp; IF(C200&lt;&gt;"",",","")</f>
        <v>[`Learning - Desired behaviors `,``,``,``,``, ``,`&lt;p class='space'&gt;Positive reinforcement (give positive consequences)&lt;p class='space'&gt; Negative reinforcement (withhold negative consequences)  `, `HRM360-CH06`],</v>
      </c>
    </row>
    <row r="200" spans="1:4" ht="60">
      <c r="A200" s="5" t="s">
        <v>913</v>
      </c>
      <c r="B200" s="5" t="s">
        <v>921</v>
      </c>
      <c r="C200" s="3" t="s">
        <v>1019</v>
      </c>
      <c r="D200" s="3" t="str">
        <f>"[`" &amp; A200 &amp; "`,``,``,``,``, ``,`"  &amp; B200 &amp; "`, `" &amp; C200 &amp; "`]" &amp; IF(C201&lt;&gt;"",",","")</f>
        <v>[`Learning - Undesired behaviors  `,``,``,``,``, ``,`&lt;p class='space'&gt;Extinction (Weakening a behavior by ignoring it or making sure it is not reinforced is referred to as extinction)&lt;p class='space'&gt;Punishment (give negative consequences or  withhold positive consequences)  `, `HRM360-CH06`],</v>
      </c>
    </row>
    <row r="201" spans="1:4" ht="60">
      <c r="A201" s="3" t="s">
        <v>915</v>
      </c>
      <c r="B201" s="5" t="s">
        <v>922</v>
      </c>
      <c r="C201" s="3" t="s">
        <v>1019</v>
      </c>
      <c r="D201" s="3" t="str">
        <f>"[`" &amp; A201 &amp; "`,``,``,``,``, ``,`"  &amp; B201 &amp; "`, `" &amp; C201 &amp; "`]" &amp; IF(C202&lt;&gt;"",",","")</f>
        <v>[`What is Social Learning Theory?`,``,``,``,``, ``,`&lt;p class='space'&gt;Social learning theory asserts that people observe others, and model their behavior accordingly; &lt;p class='space'&gt;Learning is enhanced when learners have high task-specific self-efficacy (which means they believe they can do something)`, `HRM360-CH06`],</v>
      </c>
    </row>
    <row r="202" spans="1:4" ht="45">
      <c r="A202" s="3" t="s">
        <v>884</v>
      </c>
      <c r="B202" s="5" t="s">
        <v>923</v>
      </c>
      <c r="C202" s="3" t="s">
        <v>1019</v>
      </c>
      <c r="D202" s="3" t="str">
        <f>"[`" &amp; A202 &amp; "`,``,``,``,``, ``,`"  &amp; B202 &amp; "`, `" &amp; C202 &amp; "`]" &amp; IF(C203&lt;&gt;"",",","")</f>
        <v>[`What are the sources of self-efficacy?`,``,``,``,``, ``,`&lt;p class='space'&gt;Successful past performance&lt;p class='space'&gt;Vicarious experience - (seeing others like us successfully completing similar work)  &lt;p class='space'&gt;Verbal persuasion (coaching, displaying confidence) `, `HRM360-CH06`],</v>
      </c>
    </row>
    <row r="203" spans="1:4" ht="75">
      <c r="A203" s="3" t="s">
        <v>888</v>
      </c>
      <c r="B203" s="5" t="s">
        <v>896</v>
      </c>
      <c r="C203" s="3" t="s">
        <v>1019</v>
      </c>
      <c r="D203" s="3" t="str">
        <f>"[`" &amp; A203 &amp; "`,``,``,``,``, ``,`"  &amp; B203 &amp; "`, `" &amp; C203 &amp; "`]" &amp; IF(C204&lt;&gt;"",",","")</f>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`HRM360-CH06`],</v>
      </c>
    </row>
    <row r="204" spans="1:4" ht="90">
      <c r="A204" s="3" t="s">
        <v>899</v>
      </c>
      <c r="B204" s="5" t="s">
        <v>925</v>
      </c>
      <c r="C204" s="3" t="s">
        <v>1019</v>
      </c>
      <c r="D204" s="3" t="str">
        <f>"[`" &amp; A204 &amp; "`,``,``,``,``, ``,`"  &amp; B204 &amp; "`, `" &amp; C204 &amp; "`]" &amp; IF(C205&lt;&gt;"",",","")</f>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`HRM360-CH06`],</v>
      </c>
    </row>
    <row r="205" spans="1:4" ht="45">
      <c r="A205" s="3" t="s">
        <v>887</v>
      </c>
      <c r="B205" s="5" t="s">
        <v>897</v>
      </c>
      <c r="C205" s="3" t="s">
        <v>1019</v>
      </c>
      <c r="D205" s="3" t="str">
        <f>"[`" &amp; A205 &amp; "`,``,``,``,``, ``,`"  &amp; B205 &amp; "`, `" &amp; C205 &amp; "`]" &amp; IF(C206&lt;&gt;"",",","")</f>
        <v>[`Smart Goals`,``,``,``,``, ``,`&lt;p class='space'&gt;Smart - an acronym for: &lt;p class='space'&gt;Specific&lt;p class='space'&gt;Measurable&lt;p class='space'&gt;Attainable&lt;p class='space'&gt;Results oriented&lt;p class='space'&gt;Time bound`, `HRM360-CH06`],</v>
      </c>
    </row>
    <row r="206" spans="1:4" ht="75">
      <c r="A206" s="3" t="s">
        <v>889</v>
      </c>
      <c r="B206" s="5" t="s">
        <v>916</v>
      </c>
      <c r="C206" s="3" t="s">
        <v>1019</v>
      </c>
      <c r="D206" s="3" t="str">
        <f>"[`" &amp; A206 &amp; "`,``,``,``,``, ``,`"  &amp; B206 &amp; "`, `" &amp; C206 &amp; "`]" &amp; IF(C207&lt;&gt;"",",","")</f>
        <v>[`Performance Management - There are two general categories of performance behavior:`,``,``,``,``, ``,`&lt;p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 `HRM360-CH06`],</v>
      </c>
    </row>
    <row r="207" spans="1:4" ht="45">
      <c r="A207" s="3" t="s">
        <v>890</v>
      </c>
      <c r="B207" s="5" t="s">
        <v>926</v>
      </c>
      <c r="C207" s="3" t="s">
        <v>1019</v>
      </c>
      <c r="D207" s="3" t="str">
        <f>"[`" &amp; A207 &amp; "`,``,``,``,``, ``,`"  &amp; B207 &amp; "`, `" &amp; C207 &amp; "`]" &amp; IF(C208&lt;&gt;"",",","")</f>
        <v>[`Differences between  task and contextual performance`,``,``,``,``, ``,`&lt;p class='space'&gt;Task performance is often clearly defined.&lt;p class='space'&gt;Contextual performance is typically discretionary and not a mandatory part of an employee’s job.`, `HRM360-CH06`],</v>
      </c>
    </row>
    <row r="208" spans="1:4">
      <c r="A208" s="3" t="s">
        <v>927</v>
      </c>
      <c r="B208" s="5" t="s">
        <v>972</v>
      </c>
      <c r="C208" s="3" t="s">
        <v>1019</v>
      </c>
      <c r="D208" s="3" t="str">
        <f>"[`" &amp; A208 &amp; "`,``,``,``,``, ``,`"  &amp; B208 &amp; "`, `" &amp; C208 &amp; "`]" &amp; IF(C209&lt;&gt;"",",","")</f>
        <v>[`The process of establishing desired results that guide and direct behavior`,``,``,``,``, ``,`&lt;p class='space'&gt;Goal-setting`, `HRM360-CH06`],</v>
      </c>
    </row>
    <row r="209" spans="1:4" ht="75">
      <c r="A209" s="3" t="s">
        <v>917</v>
      </c>
      <c r="B209" s="5" t="s">
        <v>898</v>
      </c>
      <c r="C209" s="3" t="s">
        <v>1019</v>
      </c>
      <c r="D209" s="3" t="str">
        <f>"[`" &amp; A209 &amp; "`,``,``,``,``, ``,`"  &amp; B209 &amp; "`, `" &amp; C209 &amp; "`]" &amp; IF(C210&lt;&gt;"",",","")</f>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`HRM360-CH06`],</v>
      </c>
    </row>
    <row r="210" spans="1:4" ht="45">
      <c r="A210" s="3" t="s">
        <v>891</v>
      </c>
      <c r="B210" s="5" t="s">
        <v>928</v>
      </c>
      <c r="C210" s="3" t="s">
        <v>1019</v>
      </c>
      <c r="D210" s="3" t="str">
        <f>"[`" &amp; A210 &amp; "`,``,``,``,``, ``,`"  &amp; B210 &amp; "`, `" &amp; C210 &amp; "`]" &amp; IF(C211&lt;&gt;"",",","")</f>
        <v>[`Difficult (but not impossible) and specific goals can:`,``,``,``,``, ``,`&lt;p class='space'&gt;Enhance performance&lt;p class='space'&gt;     More so than no goals or “do your best” goals&lt;p class='space'&gt;     But only if feedback is received throughout `, `HRM360-CH06`],</v>
      </c>
    </row>
    <row r="211" spans="1:4" ht="30">
      <c r="A211" s="3" t="s">
        <v>892</v>
      </c>
      <c r="B211" s="5" t="s">
        <v>932</v>
      </c>
      <c r="C211" s="3" t="s">
        <v>1019</v>
      </c>
      <c r="D211" s="3" t="str">
        <f>"[`" &amp; A211 &amp; "`,``,``,``,``, ``,`"  &amp; B211 &amp; "`, `" &amp; C211 &amp; "`]" &amp; IF(C212&lt;&gt;"",",","")</f>
        <v>[`Participative goal setting (vs. assigned goals):`,``,``,``,``, ``,`&lt;p class='space'&gt;Enhances performance if it causes a person to set difficult goals`, `HRM360-CH06`],</v>
      </c>
    </row>
    <row r="212" spans="1:4" ht="90">
      <c r="A212" s="5" t="s">
        <v>918</v>
      </c>
      <c r="B212" s="5" t="s">
        <v>919</v>
      </c>
      <c r="C212" s="3" t="s">
        <v>1019</v>
      </c>
      <c r="D212" s="3" t="str">
        <f>"[`" &amp; A212 &amp; "`,``,``,``,``, ``,`"  &amp; B212 &amp; "`, `" &amp; C212 &amp; "`]" &amp; IF(C213&lt;&gt;"",",","")</f>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`HRM360-CH06`],</v>
      </c>
    </row>
    <row r="213" spans="1:4" ht="60">
      <c r="A213" s="3" t="s">
        <v>900</v>
      </c>
      <c r="B213" s="5" t="s">
        <v>929</v>
      </c>
      <c r="C213" s="3" t="s">
        <v>1019</v>
      </c>
      <c r="D213" s="3" t="str">
        <f>"[`" &amp; A213 &amp; "`,``,``,``,``, ``,`"  &amp; B213 &amp; "`, `" &amp; C213 &amp; "`]" &amp; IF(C214&lt;&gt;"",",","")</f>
        <v>[`Goal setting serves three major functions:`,``,``,``,``, ``,`&lt;p class='space'&gt;(1) Increase work motivation and thus performance &lt;p class='space'&gt;(2) Reduce role stress (e.g., task conflict, role ambiguity, job overload) &lt;p class='space'&gt;(3) Improve accuracy and validity of performance evaluations `, `HRM360-CH06`],</v>
      </c>
    </row>
    <row r="214" spans="1:4" ht="90">
      <c r="A214" s="3" t="s">
        <v>901</v>
      </c>
      <c r="B214" s="5" t="s">
        <v>902</v>
      </c>
      <c r="C214" s="3" t="s">
        <v>1019</v>
      </c>
      <c r="D214" s="3" t="str">
        <f>"[`" &amp; A214 &amp; "`,``,``,``,``, ``,`"  &amp; B214 &amp; "`, `" &amp; C214 &amp; "`]" &amp; IF(C215&lt;&gt;"",",","")</f>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`HRM360-CH06`],</v>
      </c>
    </row>
    <row r="215" spans="1:4" ht="45">
      <c r="A215" s="3" t="s">
        <v>903</v>
      </c>
      <c r="B215" s="5" t="s">
        <v>904</v>
      </c>
      <c r="C215" s="3" t="s">
        <v>1019</v>
      </c>
      <c r="D215" s="3" t="str">
        <f>"[`" &amp; A215 &amp; "`,``,``,``,``, ``,`"  &amp; B215 &amp; "`, `" &amp; C215 &amp; "`]" &amp; IF(C216&lt;&gt;"",",","")</f>
        <v>[`Goal commitment`,``,``,``,``, ``,`&lt;p class='space'&gt;Goals not only need to be set, but employees need to feel committed to those goals; goal commitment enhances the motivating potential of goals `, `HRM360-CH06`],</v>
      </c>
    </row>
    <row r="216" spans="1:4" ht="75">
      <c r="A216" s="3" t="s">
        <v>905</v>
      </c>
      <c r="B216" s="5" t="s">
        <v>930</v>
      </c>
      <c r="C216" s="3" t="s">
        <v>1019</v>
      </c>
      <c r="D216" s="3" t="str">
        <f>"[`" &amp; A216 &amp; "`,``,``,``,``, ``,`"  &amp; B216 &amp; "`, `" &amp; C216 &amp; "`]" &amp; IF(C217&lt;&gt;"",",","")</f>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`HRM360-CH06`],</v>
      </c>
    </row>
    <row r="217" spans="1:4" ht="45">
      <c r="A217" s="5" t="s">
        <v>931</v>
      </c>
      <c r="B217" s="5" t="s">
        <v>933</v>
      </c>
      <c r="C217" s="3" t="s">
        <v>1019</v>
      </c>
      <c r="D217" s="3" t="str">
        <f>"[`" &amp; A217 &amp; "`,``,``,``,``, ``,`"  &amp; B217 &amp; "`, `" &amp; C217 &amp; "`]" &amp; IF(C218&lt;&gt;"",",","")</f>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`HRM360-CH06`],</v>
      </c>
    </row>
    <row r="218" spans="1:4" ht="75">
      <c r="A218" s="5" t="s">
        <v>906</v>
      </c>
      <c r="B218" s="5" t="s">
        <v>907</v>
      </c>
      <c r="C218" s="3" t="s">
        <v>1019</v>
      </c>
      <c r="D218" s="3" t="str">
        <f>"[`" &amp; A218 &amp; "`,``,``,``,``, ``,`"  &amp; B218 &amp; "`, `" &amp; C218 &amp; "`]" &amp; IF(C219&lt;&gt;"",",","")</f>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`HRM360-CH06`],</v>
      </c>
    </row>
    <row r="219" spans="1:4" ht="60">
      <c r="A219" s="3" t="s">
        <v>908</v>
      </c>
      <c r="B219" s="5" t="s">
        <v>934</v>
      </c>
      <c r="C219" s="3" t="s">
        <v>1019</v>
      </c>
      <c r="D219" s="3" t="str">
        <f>"[`" &amp; A219 &amp; "`,``,``,``,``, ``,`"  &amp; B219 &amp; "`, `" &amp; C219 &amp; "`]" &amp; IF(C220&lt;&gt;"",",","")</f>
        <v>[`What is a performance appraisal?`,``,``,``,``, ``,`&lt;p class='space'&gt;Performance appraisal is the evaluation of performance and serves many functions:&lt;p class='space'&gt;Providing feedback,&lt;p class='space'&gt;Setting developmental goals, &lt;p class='space'&gt;Deciding pay/promotions `, `HRM360-CH06`],</v>
      </c>
    </row>
    <row r="220" spans="1:4" ht="60">
      <c r="A220" s="3" t="s">
        <v>909</v>
      </c>
      <c r="B220" s="5" t="s">
        <v>935</v>
      </c>
      <c r="C220" s="3" t="s">
        <v>1019</v>
      </c>
      <c r="D220" s="3" t="str">
        <f>"[`" &amp; A220 &amp; "`,``,``,``,``, ``,`"  &amp; B220 &amp; "`, `" &amp; C220 &amp; "`]" &amp; IF(C221&lt;&gt;"",",","")</f>
        <v>[`Formal Appraisals and Reviews - Good performance appraisals are:`,``,``,``,``, ``,`&lt;p class='space'&gt;(1) Valid (many parts of performance), &lt;p class='space'&gt;(2) Reliable (multiple sources), &lt;p class='space'&gt;(3) Responsive to employee input, &lt;p class='space'&gt;(4) Flexible, and &lt;p class='space'&gt;(5) Equitable (fair) `, `HRM360-CH06`],</v>
      </c>
    </row>
    <row r="221" spans="1:4" ht="45">
      <c r="A221" s="3" t="s">
        <v>910</v>
      </c>
      <c r="B221" s="5" t="s">
        <v>936</v>
      </c>
      <c r="C221" s="3" t="s">
        <v>1019</v>
      </c>
      <c r="D221" s="3" t="str">
        <f>"[`" &amp; A221 &amp; "`,``,``,``,``, ``,`"  &amp; B221 &amp; "`, `" &amp; C221 &amp; "`]" &amp; IF(C222&lt;&gt;"",",","")</f>
        <v>[`To help maintain employee motivation long-term:`,``,``,``,``, ``,`&lt;p class='space'&gt;Managers can provide feedback regularly;&lt;p class='space'&gt;if done consistently, this practice can help maintain employee motivation long-term`, `HRM360-CH06`],</v>
      </c>
    </row>
    <row r="222" spans="1:4" ht="75">
      <c r="A222" s="3" t="s">
        <v>886</v>
      </c>
      <c r="B222" s="5" t="s">
        <v>885</v>
      </c>
      <c r="C222" s="3" t="s">
        <v>1019</v>
      </c>
      <c r="D222" s="3" t="str">
        <f>"[`" &amp; A222 &amp; "`,``,``,``,``, ``,`"  &amp; B222 &amp; "`, `" &amp; C222 &amp; "`]" &amp; IF(C223&lt;&gt;"",",","")</f>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`HRM360-CH06`],</v>
      </c>
    </row>
    <row r="223" spans="1:4" ht="45">
      <c r="A223" s="3" t="s">
        <v>480</v>
      </c>
      <c r="B223" s="5" t="s">
        <v>978</v>
      </c>
      <c r="C223" s="3" t="s">
        <v>704</v>
      </c>
      <c r="D223" s="3" t="str">
        <f>"[`" &amp; A223 &amp; "`,``,``,``,``, ``,`"  &amp; B223 &amp; "`, `" &amp; C223 &amp; "`]" &amp; IF(C224&lt;&gt;"",",","")</f>
        <v>[`Tuckman’s Five-Stage Model of Group Development`,``,``,``,``, ``,`&lt;p class='space'&gt;Forming&lt;p class='space'&gt;Storming&lt;p class='space'&gt;Norming&lt;p class='space'&gt;Performing&lt;p class='space'&gt;Adjourning`, `HRM360-CH08`],</v>
      </c>
    </row>
    <row r="224" spans="1:4" ht="75">
      <c r="A224" s="3" t="s">
        <v>943</v>
      </c>
      <c r="B224" s="5" t="s">
        <v>944</v>
      </c>
      <c r="C224" s="3" t="s">
        <v>704</v>
      </c>
      <c r="D224" s="3" t="str">
        <f>"[`" &amp; A224 &amp; "`,``,``,``,``, ``,`"  &amp; B224 &amp; "`, `" &amp; C224 &amp; "`]" &amp; IF(C225&lt;&gt;"",",","")</f>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`HRM360-CH08`],</v>
      </c>
    </row>
    <row r="225" spans="1:4" ht="90">
      <c r="A225" s="3" t="s">
        <v>945</v>
      </c>
      <c r="B225" s="5" t="s">
        <v>989</v>
      </c>
      <c r="C225" s="3" t="s">
        <v>704</v>
      </c>
      <c r="D225" s="3" t="str">
        <f>"[`" &amp; A225 &amp; "`,``,``,``,``, ``,`"  &amp; B225 &amp; "`, `" &amp; C225 &amp; "`]" &amp; IF(C226&lt;&gt;"",",","")</f>
        <v>[`When does a group become a team.`,``,``,``,``, ``,`&lt;p class='space'&gt;When leadership becomes a shared activity&lt;p class='space'&gt;(1) Accountability shifts from strictly individual to both individual and collective&lt;p class='space'&gt;(2) The group develops its own purpose or mission&lt;p class='space'&gt;(3) Problem solving becomes a way of life&lt;p class='space'&gt;(4) Effectiveness is measured by the groups collective outcomes and products`, `HRM360-CH08`],</v>
      </c>
    </row>
    <row r="226" spans="1:4" ht="90">
      <c r="A226" s="3" t="s">
        <v>946</v>
      </c>
      <c r="B226" s="5" t="s">
        <v>975</v>
      </c>
      <c r="C226" s="3" t="s">
        <v>704</v>
      </c>
      <c r="D226" s="3" t="str">
        <f>"[`" &amp; A226 &amp; "`,``,``,``,``, ``,`"  &amp; B226 &amp; "`, `" &amp; C226 &amp; "`]" &amp; IF(C227&lt;&gt;"",",","")</f>
        <v>[`Two foundational social processes that maintain team functioning:`,``,``,``,``, ``,`&lt;p class='space'&gt;Norms: which are attitudes, opinions, feelings, or action patterns that are shared by two or more people, and guide behavior&lt;p class='space'&gt;Roles: a set of expected behaviors for a particular position (or group as a whole); roles are often perceived and are intertwined, which makes them flexible depending on the situation&lt;p class='space'&gt;roles tend to be either task-based or maintenance-based `, `HRM360-CH08`],</v>
      </c>
    </row>
    <row r="227" spans="1:4" ht="60">
      <c r="A227" s="3" t="s">
        <v>947</v>
      </c>
      <c r="B227" s="5" t="s">
        <v>974</v>
      </c>
      <c r="C227" s="3" t="s">
        <v>704</v>
      </c>
      <c r="D227" s="3" t="str">
        <f>"[`" &amp; A227 &amp; "`,``,``,``,``, ``,`"  &amp; B227 &amp; "`, `" &amp; C227 &amp; "`]" &amp; IF(C228&lt;&gt;"",",","")</f>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`HRM360-CH08`],</v>
      </c>
    </row>
    <row r="228" spans="1:4" ht="45">
      <c r="A228" s="3" t="s">
        <v>948</v>
      </c>
      <c r="B228" s="5" t="s">
        <v>990</v>
      </c>
      <c r="C228" s="3" t="s">
        <v>704</v>
      </c>
      <c r="D228" s="3" t="str">
        <f>"[`" &amp; A228 &amp; "`,``,``,``,``, ``,`"  &amp; B228 &amp; "`, `" &amp; C228 &amp; "`]" &amp; IF(C229&lt;&gt;"",",","")</f>
        <v>[`Team formation - Forming:`,``,``,``,``, ``,`&lt;p class='space'&gt;Undefined roles makes people dependent on a leader or initial goals&lt;p class='space'&gt;Little agreement&lt;p class='space'&gt;unclear purpose&lt;p class='space'&gt;(Guidance and direction)`, `HRM360-CH08`],</v>
      </c>
    </row>
    <row r="229" spans="1:4" ht="45">
      <c r="A229" s="3" t="s">
        <v>949</v>
      </c>
      <c r="B229" s="5" t="s">
        <v>955</v>
      </c>
      <c r="C229" s="3" t="s">
        <v>704</v>
      </c>
      <c r="D229" s="3" t="str">
        <f>"[`" &amp; A229 &amp; "`,``,``,``,``, ``,`"  &amp; B229 &amp; "`, `" &amp; C229 &amp; "`]" &amp; IF(C230&lt;&gt;"",",","")</f>
        <v>[`Team formation - Storming:`,``,``,``,``, ``,`&lt;p class='space'&gt;Storming: People evaluate each other, conflict, and compete for roles/positions&lt;p class='space'&gt;Conflict&lt;p class='space'&gt;Increased clarity of purpose\(Power struggles, coaching) `, `HRM360-CH08`],</v>
      </c>
    </row>
    <row r="230" spans="1:4" ht="45">
      <c r="A230" s="3" t="s">
        <v>950</v>
      </c>
      <c r="B230" s="5" t="s">
        <v>956</v>
      </c>
      <c r="C230" s="3" t="s">
        <v>704</v>
      </c>
      <c r="D230" s="3" t="str">
        <f>"[`" &amp; A230 &amp; "`,``,``,``,``, ``,`"  &amp; B230 &amp; "`, `" &amp; C230 &amp; "`]" &amp; IF(C231&lt;&gt;"",",","")</f>
        <v>[`Team formation - Norming:`,``,``,``,``, ``,`&lt;p class='space'&gt;Norming: Roles/responsibilities become clear and consensually accepted&lt;p class='space'&gt;Agreement and consensus&lt;p class='space'&gt;Clear roles and responsibilies&lt;p class='space'&gt;(Facilitation) `, `HRM360-CH08`],</v>
      </c>
    </row>
    <row r="231" spans="1:4" ht="45">
      <c r="A231" s="3" t="s">
        <v>951</v>
      </c>
      <c r="B231" s="5" t="s">
        <v>957</v>
      </c>
      <c r="C231" s="3" t="s">
        <v>704</v>
      </c>
      <c r="D231" s="3" t="str">
        <f>"[`" &amp; A231 &amp; "`,``,``,``,``, ``,`"  &amp; B231 &amp; "`, `" &amp; C231 &amp; "`]" &amp; IF(C232&lt;&gt;"",",","")</f>
        <v>[`Team formation - Performing:`,``,``,``,``, ``,`&lt;p class='space'&gt;Performing: Focus on goal attainment, adaptive and self-correcting\Clear vision and purpose&lt;p class='space'&gt;Focus on goal achievement&lt;p class='space'&gt;(Delegation)`, `HRM360-CH08`],</v>
      </c>
    </row>
    <row r="232" spans="1:4" ht="45">
      <c r="A232" s="3" t="s">
        <v>991</v>
      </c>
      <c r="B232" s="5" t="s">
        <v>958</v>
      </c>
      <c r="C232" s="3" t="s">
        <v>704</v>
      </c>
      <c r="D232" s="3" t="str">
        <f>"[`" &amp; A232 &amp; "`,``,``,``,``, ``,`"  &amp; B232 &amp; "`, `" &amp; C232 &amp; "`]" &amp; IF(C233&lt;&gt;"",",","")</f>
        <v>[`Team formation - Adjourning:`,``,``,``,``, ``,`&lt;p class='space'&gt;Adjourning: Team members move on&lt;p class='space'&gt;Good feelings about achievements&lt;p class='space'&gt;(Recognition)`, `HRM360-CH08`],</v>
      </c>
    </row>
    <row r="233" spans="1:4" ht="60">
      <c r="A233" s="3" t="s">
        <v>952</v>
      </c>
      <c r="B233" s="5" t="s">
        <v>959</v>
      </c>
      <c r="C233" s="3" t="s">
        <v>704</v>
      </c>
      <c r="D233" s="3" t="str">
        <f>"[`" &amp; A233 &amp; "`,``,``,``,``, ``,`"  &amp; B233 &amp; "`, `" &amp; C233 &amp; "`]" &amp; IF(C234&lt;&gt;"",",","")</f>
        <v>[`punctuated equilibrium model `,``,``,``,``, ``,`&lt;p class='space'&gt;The punctuated equilibrium model finds that groups will spend large periods of time at one stage, and then experience certain key events that rapidly accelerate development before settling on a new baseline group behavior `, `HRM360-CH08`],</v>
      </c>
    </row>
    <row r="234" spans="1:4" ht="120">
      <c r="A234" s="3" t="s">
        <v>954</v>
      </c>
      <c r="B234" s="5" t="s">
        <v>973</v>
      </c>
      <c r="C234" s="3" t="s">
        <v>704</v>
      </c>
      <c r="D234" s="3" t="str">
        <f>"[`" &amp; A234 &amp; "`,``,``,``,``, ``,`"  &amp; B234 &amp; "`, `" &amp; C234 &amp; "`]" &amp; IF(C235&lt;&gt;"",",","")</f>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`HRM360-CH08`],</v>
      </c>
    </row>
    <row r="235" spans="1:4" ht="45">
      <c r="A235" s="3" t="s">
        <v>953</v>
      </c>
      <c r="B235" s="5" t="s">
        <v>960</v>
      </c>
      <c r="C235" s="3" t="s">
        <v>704</v>
      </c>
      <c r="D235" s="3" t="str">
        <f>"[`" &amp; A235 &amp; "`,``,``,``,``, ``,`"  &amp; B235 &amp; "`, `" &amp; C235 &amp; "`]" &amp; IF(C236&lt;&gt;"",",","")</f>
        <v>[`Factors that affect team cohesion:`,``,``,``,``, ``,`&lt;p class='space'&gt;Small group size, consensus on goals , interaction frequency, status, difficulty to join, intergroup competition, group-based rewards, distance&lt;`, `HRM360-CH08`],</v>
      </c>
    </row>
    <row r="236" spans="1:4" ht="30">
      <c r="A236" s="3" t="s">
        <v>961</v>
      </c>
      <c r="B236" s="5" t="s">
        <v>965</v>
      </c>
      <c r="C236" s="3" t="s">
        <v>704</v>
      </c>
      <c r="D236" s="3" t="str">
        <f>"[`" &amp; A236 &amp; "`,``,``,``,``, ``,`"  &amp; B236 &amp; "`, `" &amp; C236 &amp; "`]" &amp; IF(C237&lt;&gt;"",",","")</f>
        <v>[`Social Loafing`,``,``,``,``, ``,`&lt;p class='space'&gt;A primary threat to cohesion is social loafing, which is the tendency for individual effort to decline as group size increases; `, `HRM360-CH08`],</v>
      </c>
    </row>
    <row r="237" spans="1:4" ht="60">
      <c r="A237" s="3" t="s">
        <v>962</v>
      </c>
      <c r="B237" s="5" t="s">
        <v>966</v>
      </c>
      <c r="C237" s="3" t="s">
        <v>704</v>
      </c>
      <c r="D237" s="3" t="str">
        <f>"[`" &amp; A237 &amp; "`,``,``,``,``, ``,`"  &amp; B237 &amp; "`, `" &amp; C237 &amp; "`]" &amp; IF(C238&lt;&gt;"",",","")</f>
        <v>[`How to reduce the chance of social loafing?`,``,``,``,``, ``,`&lt;p class='space'&gt;Set group goals (gives common purpose), &lt;p class='space'&gt;peer evaluations, &lt;p class='space'&gt;allows members autonomy in deciding their roles, &lt;p class='space'&gt;identifying/rewarding individuals’ input into a group `, `HRM360-CH08`],</v>
      </c>
    </row>
    <row r="238" spans="1:4" ht="105">
      <c r="A238" s="3" t="s">
        <v>963</v>
      </c>
      <c r="B238" s="5" t="s">
        <v>967</v>
      </c>
      <c r="C238" s="3" t="s">
        <v>704</v>
      </c>
      <c r="D238" s="3" t="str">
        <f>"[`" &amp; A238 &amp; "`,``,``,``,``, ``,`"  &amp; B238 &amp; "`, `" &amp; C238 &amp; "`]" &amp; IF(C239&lt;&gt;"",",","")</f>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`HRM360-CH08`],</v>
      </c>
    </row>
    <row r="239" spans="1:4" ht="150">
      <c r="A239" s="3" t="s">
        <v>964</v>
      </c>
      <c r="B239" s="5" t="s">
        <v>968</v>
      </c>
      <c r="C239" s="3" t="s">
        <v>704</v>
      </c>
      <c r="D239" s="3" t="str">
        <f>"[`" &amp; A239 &amp; "`,``,``,``,``, ``,`"  &amp; B239 &amp; "`, `" &amp; C239 &amp; "`]" &amp; IF(C240&lt;&gt;"",",","")</f>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`HRM360-CH08`],</v>
      </c>
    </row>
    <row r="240" spans="1:4" ht="105">
      <c r="A240" s="3" t="s">
        <v>969</v>
      </c>
      <c r="B240" s="5" t="s">
        <v>971</v>
      </c>
      <c r="C240" s="3" t="s">
        <v>704</v>
      </c>
      <c r="D240" s="3" t="str">
        <f>"[`" &amp; A240 &amp; "`,``,``,``,``, ``,`"  &amp; B240 &amp; "`, `" &amp; C240 &amp; "`]" &amp; IF(C241&lt;&gt;"",",","")</f>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`HRM360-CH08`],</v>
      </c>
    </row>
    <row r="241" spans="1:4" ht="409.5">
      <c r="A241" s="3" t="s">
        <v>970</v>
      </c>
      <c r="B241" s="5" t="s">
        <v>992</v>
      </c>
      <c r="C241" s="3" t="s">
        <v>704</v>
      </c>
      <c r="D241" s="3" t="str">
        <f>"[`" &amp; A241 &amp; "`,``,``,``,``, ``,`"  &amp; B241 &amp; "`, `" &amp; C241 &amp; "`]" &amp; IF(C242&lt;&gt;"",",","")</f>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read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 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`HRM360-CH08`],</v>
      </c>
    </row>
    <row r="242" spans="1:4" ht="30">
      <c r="A242" s="3" t="s">
        <v>976</v>
      </c>
      <c r="B242" s="5" t="s">
        <v>979</v>
      </c>
      <c r="C242" s="3" t="s">
        <v>718</v>
      </c>
      <c r="D242" s="3" t="str">
        <f>"[`" &amp; A242 &amp; "`,``,``,``,``, ``,`"  &amp; B242 &amp; "`, `" &amp; C242 &amp; "`]" &amp; IF(C243&lt;&gt;"",",","")</f>
        <v>[`Communication is:`,``,``,``,``, ``,`&lt;p class='space'&gt;Communication is the facilitation of a shared understanding of meaning in the mind of another person `, `HRM360-CH09`],</v>
      </c>
    </row>
    <row r="243" spans="1:4" ht="60">
      <c r="A243" s="3" t="s">
        <v>977</v>
      </c>
      <c r="B243" s="5" t="s">
        <v>980</v>
      </c>
      <c r="C243" s="3" t="s">
        <v>718</v>
      </c>
      <c r="D243" s="3" t="str">
        <f>"[`" &amp; A243 &amp; "`,``,``,``,``, ``,`"  &amp; B243 &amp; "`, `" &amp; C243 &amp; "`]" &amp; IF(C244&lt;&gt;"",",","")</f>
        <v>[`Communication serves four functions at work:`,``,``,``,``, ``,`&lt;p class='space'&gt;(1) Exercising control via authority and influence &lt;p class='space'&gt;(2) Eliciting motivation in others &lt;p class='space'&gt;(3) Facilitating emotional expression and support &lt;p class='space'&gt;(4) Providing information for decision making `, `HRM360-CH09`],</v>
      </c>
    </row>
    <row r="244" spans="1:4" ht="75">
      <c r="A244" s="5" t="s">
        <v>981</v>
      </c>
      <c r="B244" s="5" t="s">
        <v>985</v>
      </c>
      <c r="C244" s="3" t="s">
        <v>718</v>
      </c>
      <c r="D244" s="3" t="str">
        <f>"[`" &amp; A244 &amp; "`,``,``,``,``, ``,`"  &amp; B244 &amp; "`, `" &amp; C244 &amp; "`]" &amp; IF(C245&lt;&gt;"",",","")</f>
        <v>[`Communication - A message has two components: `,``,``,``,``, ``,`&lt;p class='space'&gt;(1) Cognition: Content in terms of words, ideas, symbols, concepts &lt;p class='space'&gt;(2) Affect: Emotion in terms of intensity, demeanor, gestures, discrete emotions (e.g., anger, joy)&lt;p class='space'&gt;The meaning of these two components to a receiver will vary based on how it travels through the communication process  `, `HRM360-CH09`],</v>
      </c>
    </row>
    <row r="245" spans="1:4" ht="105">
      <c r="A245" s="5" t="s">
        <v>982</v>
      </c>
      <c r="B245" s="5" t="s">
        <v>986</v>
      </c>
      <c r="C245" s="3" t="s">
        <v>718</v>
      </c>
      <c r="D245" s="3" t="str">
        <f>"[`" &amp; A245 &amp; "`,``,``,``,``, ``,`"  &amp; B245 &amp; "`, `" &amp; C245 &amp; "`]" &amp; IF(C246&lt;&gt;"",",","")</f>
        <v>[`Communication Process - Once encoded, a message is transmitted through:  `,``,``,``,``, ``,`&lt;p class='space'&gt;One of two types of general channels:&lt;p class='space'&gt;(1) Formal channels that are proscribed by organization’s policies, procedures, and design; this can be vertically upward or downward, and horizontally lateral &lt;p class='space'&gt;(2) Informal channels that are spontaneous, personal (between people), are regardless of anyone’s formal position; these often take the form of gossip or “grapevines” that arise when employees feel uninformed or lied to  `, `HRM360-CH09`],</v>
      </c>
    </row>
    <row r="246" spans="1:4" ht="90">
      <c r="A246" s="5" t="s">
        <v>983</v>
      </c>
      <c r="B246" s="5" t="s">
        <v>987</v>
      </c>
      <c r="C246" s="3" t="s">
        <v>718</v>
      </c>
      <c r="D246" s="3" t="str">
        <f>"[`" &amp; A246 &amp; "`,``,``,``,``, ``,`"  &amp; B246 &amp; "`, `" &amp; C246 &amp; "`]" &amp; IF(C247&lt;&gt;"",",","")</f>
        <v>[`Communication Process - capacity vs richness `,``,``,``,``, ``,`&lt;p class='space'&gt;Face to face has the highest richness but the lowest data capacity.&lt;p class='space'&gt;highest to lowest richness&lt;p class='space'&gt;Face-to-face&lt;p class='space'&gt;telephone&lt;p class='space'&gt;e-mail&lt;p class='space'&gt;individualized letter&lt;p class='space'&gt;personalized memo&lt;p class='space'&gt;formal written report&lt;p class='space'&gt;flyer of bulletin&lt;p class='space'&gt;formal numeric report`, `HRM360-CH09`],</v>
      </c>
    </row>
    <row r="247" spans="1:4" ht="60">
      <c r="A247" s="5" t="s">
        <v>984</v>
      </c>
      <c r="B247" s="5" t="s">
        <v>988</v>
      </c>
      <c r="C247" s="3" t="s">
        <v>718</v>
      </c>
      <c r="D247" s="3" t="str">
        <f>"[`" &amp; A247 &amp; "`,``,``,``,``, ``,`"  &amp; B247 &amp; "`, `" &amp; C247 &amp; "`]" &amp; IF(C248&lt;&gt;"",",","")</f>
        <v>[`Nonverbal Communication `,``,``,``,``, ``,`&lt;p class='space'&gt;Although most of our communication is verbal (oral or written), between 65-90% of the meaning in a given message is communicated nonverbally &lt;p class='space'&gt;Nonverbal communication is highly sensitive to sender/receiver characteristics, and context `, `HRM360-CH09`],</v>
      </c>
    </row>
    <row r="248" spans="1:4" ht="135">
      <c r="A248" s="3" t="s">
        <v>993</v>
      </c>
      <c r="B248" s="5" t="s">
        <v>1016</v>
      </c>
      <c r="C248" s="3" t="s">
        <v>718</v>
      </c>
      <c r="D248" s="3" t="str">
        <f>"[`" &amp; A248 &amp; "`,``,``,``,``, ``,`"  &amp; B248 &amp; "`, `" &amp; C248 &amp; "`]" &amp; IF(C249&lt;&gt;"",",","")</f>
        <v>[`Four types of nonverbal communication:`,``,``,``,``, ``,`&lt;p class='space'&gt;(1) Kinesics: Body movement and posture (e.g., clenching fists when stressed, “the finger”, hand-shaking &lt;p class='space'&gt;(2) Face/Eye Behavior: Often reveal emotions, behavioral intentions, and provide cues to the receiver; eye contact and smiling can enhance active listening and empathy &lt;p class='space'&gt;(3) Paralanguage: Variations in speech such as pitch, loudness, tempo, tone, duration, laughing, and crying&lt;p class='space'&gt;(4) Proximity: Physical closeness is an indicator of social/intimate closeness; receivers can be put in intimate, personal (e.g., friends), social, or public “zones”  `, `HRM360-CH09`],</v>
      </c>
    </row>
    <row r="249" spans="1:4" ht="90">
      <c r="A249" s="3" t="s">
        <v>994</v>
      </c>
      <c r="B249" s="5" t="s">
        <v>995</v>
      </c>
      <c r="C249" s="3" t="s">
        <v>718</v>
      </c>
      <c r="D249" s="3" t="str">
        <f>"[`" &amp; A249 &amp; "`,``,``,``,``, ``,`"  &amp; B249 &amp; "`, `" &amp; C249 &amp; "`]" &amp; IF(C250&lt;&gt;"",",","")</f>
        <v>[`Barriers to communication - perceptual filters `,``,``,``,``, ``,`&lt;p class='space'&gt;When perceiving communication from others, people have perceptual filters that affect how they experience and react to that communication; these filters can be psychological, experiential, or situational &lt;p class='space'&gt;Examples: Age, gender, values, beliefs, experiences, personality, cultural biases, needs, time pressures, excessive stimulation, moods, etc. `, `HRM360-CH09`],</v>
      </c>
    </row>
    <row r="250" spans="1:4" ht="120">
      <c r="A250" s="5" t="s">
        <v>997</v>
      </c>
      <c r="B250" s="5" t="s">
        <v>998</v>
      </c>
      <c r="C250" s="3" t="s">
        <v>718</v>
      </c>
      <c r="D250" s="3" t="str">
        <f>"[`" &amp; A250 &amp; "`,``,``,``,``, ``,`"  &amp; B250 &amp; "`, `" &amp; C250 &amp; "`]" &amp; IF(C251&lt;&gt;"",",","")</f>
        <v>[`Barriers to communication - Three common perceptual tendencies: `,``,``,``,``, ``,`&lt;p class='space'&gt;Selective perception: People tend to notice and accept information that is consistent with their existing beliefs, values, and expectations&lt;p class='space'&gt; &lt;p class='space'&gt;Attribution errors: People tend to either attribute others’ behavior to either external causes (defensive bias) or internal causes (fundamental attribution error), ignoring or downplaying the other&lt;p class='space'&gt; &lt;p class='space'&gt;Self-serving bias: Tendency to attribute our own successes to internal causes, and our own failures to external causes `, `HRM360-CH09`],</v>
      </c>
    </row>
    <row r="251" spans="1:4" ht="105">
      <c r="A251" s="5" t="s">
        <v>996</v>
      </c>
      <c r="B251" s="5" t="s">
        <v>999</v>
      </c>
      <c r="C251" s="3" t="s">
        <v>718</v>
      </c>
      <c r="D251" s="3" t="str">
        <f>"[`" &amp; A251 &amp; "`,``,``,``,``, ``,`"  &amp; B251 &amp; "`, `" &amp; C251 &amp; "`]" &amp; IF(C252&lt;&gt;"",",","")</f>
        <v>[`Barriers to communication - Other barriers:`,``,``,``,``, ``,`&lt;p class='space'&gt;Status differences: Intimidated when communicating upward or disinterested when downward &lt;p class='space'&gt;Gender: Different communication styles &lt;p class='space'&gt;Cultural diversity: Some place more importance on authority; many cultures have stereotypes of other cultures that create automatic perception barriers &lt;p class='space'&gt;Language: Cultural language, jargon and professional language can be efficient, but alienating to others `, `HRM360-CH09`],</v>
      </c>
    </row>
    <row r="252" spans="1:4" ht="45">
      <c r="A252" s="3" t="s">
        <v>1000</v>
      </c>
      <c r="B252" s="5" t="s">
        <v>1002</v>
      </c>
      <c r="C252" s="3" t="s">
        <v>718</v>
      </c>
      <c r="D252" s="3" t="str">
        <f>"[`" &amp; A252 &amp; "`,``,``,``,``, ``,`"  &amp; B252 &amp; "`, `" &amp; C252 &amp; "`]" &amp; IF(C253&lt;&gt;"",",","")</f>
        <v>[`Active listening is:`,``,``,``,``, ``,`&lt;p class='space'&gt;Active listening is seeking to fully understand the sender’s intended message, rather than focusing only on one’s response to the message `, `HRM360-CH09`],</v>
      </c>
    </row>
    <row r="253" spans="1:4" ht="90">
      <c r="A253" s="3" t="s">
        <v>1001</v>
      </c>
      <c r="B253" s="5" t="s">
        <v>1017</v>
      </c>
      <c r="C253" s="3" t="s">
        <v>718</v>
      </c>
      <c r="D253" s="3" t="str">
        <f>"[`" &amp; A253 &amp; "`,``,``,``,``, ``,`"  &amp; B253 &amp; "`, `" &amp; C253 &amp; "`]" &amp; IF(C254&lt;&gt;"",",","")</f>
        <v>[`Four types of responses facilitate active listening:`,``,``,``,``, ``,`&lt;p class='space'&gt;(1) Affirming contact: Communicate attentiveness, not necessarily agreement-lets person know your are listening – very non verbal &lt;p class='space'&gt;(2) Paraphrasing: Repeat message back in own words &lt;p class='space'&gt;(3) Clarify the implicit: Verbalize unsaid emotions/thoughts &lt;p class='space'&gt;(4) Reflect core feelings: Identify underlying values empathize at a deeper level  (Not on exam)  `, `HRM360-CH09`],</v>
      </c>
    </row>
    <row r="254" spans="1:4" ht="105">
      <c r="A254" s="5" t="s">
        <v>1013</v>
      </c>
      <c r="B254" s="5" t="s">
        <v>1014</v>
      </c>
      <c r="C254" s="3" t="s">
        <v>718</v>
      </c>
      <c r="D254" s="3" t="str">
        <f>"[`" &amp; A254 &amp; "`,``,``,``,``, ``,`"  &amp; B254 &amp; "`, `" &amp; C254 &amp; "`]" &amp; IF(C255&lt;&gt;"",",","")</f>
        <v>[`Ways to improve your active listening skills: `,``,``,``,``, ``,`&lt;p class='space'&gt;Stop talking &lt;p class='space'&gt;Put the speaker at ease &lt;p class='space'&gt;Show the speaker you want to listen &lt;p class='space'&gt;Remove distractions &lt;p class='space'&gt;Empathize with the speaker &lt;p class='space'&gt;Be patient &lt;p class='space'&gt;Hold your temper &lt;p class='space'&gt;Go easy on criticism &lt;p class='space'&gt;Ask questions, paraphrase, and clarify &lt;p class='space'&gt;Stop talking! Be sure the speaker has finished before you talk`, `HRM360-CH09`],</v>
      </c>
    </row>
    <row r="255" spans="1:4" ht="105">
      <c r="A255" s="3" t="s">
        <v>1015</v>
      </c>
      <c r="B255" s="5" t="s">
        <v>1018</v>
      </c>
      <c r="C255" s="3" t="s">
        <v>718</v>
      </c>
      <c r="D255" s="3" t="str">
        <f>"[`" &amp; A255 &amp; "`,``,``,``,``, ``,`"  &amp; B255 &amp; "`, `" &amp; C255 &amp; "`]" &amp; IF(C256&lt;&gt;"",",","")</f>
        <v>[`Assertive communication`,``,``,``,``, ``,`&lt;p class='space'&gt;Assertive communication: which is direct, clear, informative, respectful.&lt;p class='space'&gt;The key is self-control when communicating:  &lt;p class='space'&gt;Make your statement, then ask for opinions and wait until some have been voiced fully before responding &lt;p class='space'&gt;Minimize self-deprecation (unless being humorous) &lt;p class='space'&gt;Use “I” statements &lt;p class='space'&gt;Judge the behavior, not the person`, `HRM360-CH09`],</v>
      </c>
    </row>
    <row r="256" spans="1:4" ht="60">
      <c r="A256" s="3" t="s">
        <v>1025</v>
      </c>
      <c r="B256" s="5" t="s">
        <v>1041</v>
      </c>
      <c r="C256" s="3" t="s">
        <v>1074</v>
      </c>
      <c r="D256" s="3" t="str">
        <f>"[`" &amp; A256 &amp; "`,``,``,``,``, ``,`"  &amp; B256 &amp; "`, `" &amp; C256 &amp; "`]" &amp; IF(C257&lt;&gt;"",",","")</f>
        <v>[`Decision-making two types:`,``,``,``,``, ``,`&lt;p class='space'&gt;(1) Programmatic decisions are routine and based on established decision rules (most decisions programmatic)&lt;p class='space'&gt;(2) Non-programmatic decisions require creative solutions – requires conscious deliberations`, `HRM360-CH11`],</v>
      </c>
    </row>
    <row r="257" spans="1:4" ht="120">
      <c r="A257" s="3" t="s">
        <v>1026</v>
      </c>
      <c r="B257" s="5" t="s">
        <v>1042</v>
      </c>
      <c r="C257" s="3" t="s">
        <v>1074</v>
      </c>
      <c r="D257" s="3" t="str">
        <f>"[`" &amp; A257 &amp; "`,``,``,``,``, ``,`"  &amp; B257 &amp; "`, `" &amp; C257 &amp; "`]" &amp; IF(C258&lt;&gt;"",",","")</f>
        <v>[`Rational decision-making - six steps:`,``,``,``,``, ``,`&lt;p class='space'&gt;Rational decision-making is a systematic process of defining problems, evaluating alternatives, and choosing optimal solutions&lt;p class='space'&gt;(1) Define the problem &lt;p class='space'&gt;(2) Identify decision criteria (standards to be met) &lt;p class='space'&gt;(3) Weight the criteria in terms of value/importance &lt;p class='space'&gt;(4) Generate alternative courses of action &lt;p class='space'&gt;(5) Evaluate each alternative against each criterion &lt;p class='space'&gt;(6) Compute the optimal decision `, `HRM360-CH11`],</v>
      </c>
    </row>
    <row r="258" spans="1:4" ht="75">
      <c r="A258" s="3" t="s">
        <v>1027</v>
      </c>
      <c r="B258" s="5" t="s">
        <v>1028</v>
      </c>
      <c r="C258" s="3" t="s">
        <v>1074</v>
      </c>
      <c r="D258" s="3" t="str">
        <f>"[`" &amp; A258 &amp; "`,``,``,``,``, ``,`"  &amp; B258 &amp; "`, `" &amp; C258 &amp; "`]" &amp; IF(C259&lt;&gt;"",",","")</f>
        <v>[`Rational decision model strengths/weaknesses: `,``,``,``,``, ``,`&lt;p class='space'&gt;Strengths:&lt;p class='space'&gt; Careful – thoughtful -encourages deliberation, avoids jumping into first accessible conclusion &lt;p class='space'&gt;Weaknesses:&lt;p class='space'&gt; Takes time, limits to human information processing,  requires a lot of data/info, may change weight of alternatives retroactively `, `HRM360-CH11`],</v>
      </c>
    </row>
    <row r="259" spans="1:4" ht="90">
      <c r="A259" s="3" t="s">
        <v>1029</v>
      </c>
      <c r="B259" s="5" t="s">
        <v>1034</v>
      </c>
      <c r="C259" s="3" t="s">
        <v>1074</v>
      </c>
      <c r="D259" s="3" t="str">
        <f>"[`" &amp; A259 &amp; "`,``,``,``,``, ``,`"  &amp; B259 &amp; "`, `" &amp; C259 &amp; "`]" &amp; IF(C260&lt;&gt;"",",","")</f>
        <v>[`Rational decision model assumptions:`,``,``,``,``, ``,`&lt;p class='space'&gt;The rational model assumes: &lt;p class='space'&gt;(1) The outcome will be rational (not emotional or unpredicted) &lt;p class='space'&gt;(2) The decision maker has a consistent set of preferences &lt;p class='space'&gt;(3) The decision maker is aware of all possible alternatives &lt;p class='space'&gt;(4) The decision maker can calculate probability of success for each alternative `, `HRM360-CH11`],</v>
      </c>
    </row>
    <row r="260" spans="1:4" ht="210">
      <c r="A260" s="3" t="s">
        <v>1035</v>
      </c>
      <c r="B260" s="5" t="s">
        <v>1068</v>
      </c>
      <c r="C260" s="3" t="s">
        <v>1074</v>
      </c>
      <c r="D260" s="3" t="str">
        <f>"[`" &amp; A260 &amp; "`,``,``,``,``, ``,`"  &amp; B260 &amp; "`, `" &amp; C260 &amp; "`]" &amp; IF(C261&lt;&gt;"",",","")</f>
        <v>[`Bounded Rationality`,``,``,``,``, ``,`&lt;p class='space'&gt;When making decisions, people are limited by their cognitive ability and group processes &lt;p class='space'&gt;The bounded rationality model recognizes that most people/groups make decisions by constructing simplified models that extract the essential features from problems without capturing all their complexity&lt;p class='space'&gt;Bounded rationality is the idea that we make decisions that are rational, but within the limits of the information available to us and our mental capabilities.&lt;p class='space'&gt;Economists who think of us as ‘boundedly rational’ don’t see us as an ‘economic superman’, or homo economicus that spends his life optimizing the happiness created by every decision. &lt;p class='space'&gt;Instead, they see us as satisficers — as people who choose the option that will satisfy their needs and wants without putting too much effort into making sure they’ve considering every single possibility.`, `HRM360-CH11`],</v>
      </c>
    </row>
    <row r="261" spans="1:4" ht="105">
      <c r="A261" s="3" t="s">
        <v>1036</v>
      </c>
      <c r="B261" s="5" t="s">
        <v>1037</v>
      </c>
      <c r="C261" s="3" t="s">
        <v>1074</v>
      </c>
      <c r="D261" s="3" t="str">
        <f>"[`" &amp; A261 &amp; "`,``,``,``,``, ``,`"  &amp; B261 &amp; "`, `" &amp; C261 &amp; "`]" &amp; IF(C263&lt;&gt;"",",","")</f>
        <v>[`Bounded Rationality - Assumptions:`,``,``,``,``, ``,`&lt;p class='space'&gt;Bounded rationality assumes people: &lt;p class='space'&gt;(1) Select the first satisfactory alternative (satisficing) because costs (time, effort) are too high to optimize the decision &lt;p class='space'&gt;(2) Recognize that their conception of the world is simple &lt;p class='space'&gt;(3) Are comfortable making decisions without determining all the alternatives &lt;p class='space'&gt;(4) Make decisions by “rules of thumb” or heuristics because they save mental energy. `, `HRM360-CH11`],</v>
      </c>
    </row>
    <row r="262" spans="1:4" ht="90">
      <c r="A262" s="5" t="s">
        <v>1038</v>
      </c>
      <c r="B262" s="5" t="s">
        <v>1069</v>
      </c>
      <c r="C262" s="3" t="s">
        <v>1074</v>
      </c>
      <c r="D262" s="3" t="str">
        <f>"[`" &amp; A262 &amp; "`,``,``,``,``, ``,`"  &amp; B262 &amp; "`, `" &amp; C262 &amp; "`]" &amp; IF(C263&lt;&gt;"",",","")</f>
        <v>[`Heuristics `,``,``,``,``, ``,`&lt;p class='space'&gt;A heuristic technique is any approach to problem solving or self-discovery that employs a practical method that is not guaranteed to be optimal, perfect or rational, but which is nevertheless sufficient for reaching an immediate, short-term goal.&lt;p class='space'&gt;Where finding an optimal solution is impossible or impractical, heuristic methods can be used to speed up the process of finding a satisfactory solution.`, `HRM360-CH11`],</v>
      </c>
    </row>
    <row r="263" spans="1:4" ht="75">
      <c r="A263" s="5" t="s">
        <v>1071</v>
      </c>
      <c r="B263" s="5" t="s">
        <v>1070</v>
      </c>
      <c r="C263" s="3" t="s">
        <v>1074</v>
      </c>
      <c r="D263" s="3" t="str">
        <f>"[`" &amp; A263 &amp; "`,``,``,``,``, ``,`"  &amp; B263 &amp; "`, `" &amp; C263 &amp; "`]" &amp; IF(C264&lt;&gt;"",",","")</f>
        <v>[`Heuristics - Examples:`,``,``,``,``, ``,`&lt;p class='space'&gt;Examples that employ heuristics include using:&lt;p class='space'&gt; trial and error&lt;p class='space'&gt; a rule of thumb&lt;p class='space'&gt; an educated guess&lt;p class='space'&gt; an intuitive judgment&lt;p class='space'&gt; a guesstimate&lt;p class='space'&gt; profiling&lt;p class='space'&gt; common sense. `, `HRM360-CH11`],</v>
      </c>
    </row>
    <row r="264" spans="1:4" ht="135">
      <c r="A264" s="3" t="s">
        <v>1039</v>
      </c>
      <c r="B264" s="5" t="s">
        <v>1040</v>
      </c>
      <c r="C264" s="3" t="s">
        <v>1074</v>
      </c>
      <c r="D264" s="3" t="str">
        <f>"[`" &amp; A264 &amp; "`,``,``,``,``, ``,`"  &amp; B264 &amp; "`, `" &amp; C264 &amp; "`]" &amp; IF(C265&lt;&gt;"",",","")</f>
        <v>[`Hueristics and biases:`,``,``,``,``, ``,`&lt;p class='space'&gt;Reliance on heuristics, impulses, and even intuition (where not well-honed), can lead to biases:&lt;p class='space'&gt;&lt;p class='space'&gt;(1)  Overconfidence in one’s personal judgment/cognition &lt;p class='space'&gt;(2)  Anchoring decisions based on initial information &lt;p class='space'&gt;(3)  Seeking/accepting information that offers confirmation of our past or present experiences  &lt;p class='space'&gt;(4)  Base judgments on readily available information &lt;p class='space'&gt;(5)  Believing we can predict the outcomes of randomness &lt;p class='space'&gt;(6) Believing in hindsight that one was accurate  `, `HRM360-CH11`],</v>
      </c>
    </row>
    <row r="265" spans="1:4" ht="120">
      <c r="A265" s="3" t="s">
        <v>1073</v>
      </c>
      <c r="B265" s="5" t="s">
        <v>1072</v>
      </c>
      <c r="C265" s="3" t="s">
        <v>1074</v>
      </c>
      <c r="D265" s="3" t="str">
        <f>"[`" &amp; A265 &amp; "`,``,``,``,``, ``,`"  &amp; B265 &amp; "`, `" &amp; C265 &amp; "`]" &amp; IF(C266&lt;&gt;"",",","")</f>
        <v>[`What is Satisficing?`,``,``,``,``, ``,`&lt;p class='space'&gt;Selecting the first satisfactory alternative - because costs (time, effort) are too high to optimize the decision\nSatisficing is a decision-making strategy that aims for a satisfactory or adequate result, rather than the optimal solution. Instead of putting maximum exertion toward attaining the ideal outcome, satisficing focuses on pragmatic effort when confronted with tasks. This is because aiming for the optimal solution may necessitate a needless expenditure of time, energy, and resources.`, `HRM360-CH11`],</v>
      </c>
    </row>
    <row r="266" spans="1:4" ht="135">
      <c r="A266" s="3" t="s">
        <v>1043</v>
      </c>
      <c r="B266" s="5" t="s">
        <v>1051</v>
      </c>
      <c r="C266" s="3" t="s">
        <v>1074</v>
      </c>
      <c r="D266" s="3" t="str">
        <f>"[`" &amp; A266 &amp; "`,``,``,``,``, ``,`"  &amp; B266 &amp; "`, `" &amp; C266 &amp; "`]" &amp; IF(C267&lt;&gt;"",",","")</f>
        <v>[`What is the Framing Effect?`,``,``,``,``, ``,`&lt;p class='space'&gt;The Framing effect is the principle that our choices are influenced by the way they are framed through different wordings, settings, and situations. &lt;p class='space'&gt;How does it happen? &lt;p class='space'&gt;Which one of these products would you pick: &lt;p class='space'&gt;A ‘95% effective’ condom or a ‘5% failure’ condom? &lt;p class='space'&gt;‘80% lean’ ground beef or ‘20%’ fat ground beef? &lt;p class='space'&gt;&lt;p class='space'&gt;Most people would be more likely to choose the first option in both cases, even though the two choices are identical.`, `HRM360-CH11`],</v>
      </c>
    </row>
    <row r="267" spans="1:4" ht="285">
      <c r="A267" s="3" t="s">
        <v>1052</v>
      </c>
      <c r="B267" s="5" t="s">
        <v>1062</v>
      </c>
      <c r="C267" s="3" t="s">
        <v>1074</v>
      </c>
      <c r="D267" s="3" t="str">
        <f>"[`" &amp; A267 &amp; "`,``,``,``,``, ``,`"  &amp; B267 &amp; "`, `" &amp; C267 &amp; "`]" &amp; IF(C268&lt;&gt;"",",","")</f>
        <v>[`Escalation of commitment - aka Commitment Bias`,``,``,``,``, ``,`&lt;p class='space'&gt;Escalation of commitment - aka Commitment Bias, is the tendency to continue supporting a decision (or series of decisions) even though it is failing to reach the desired goal.  &lt;p class='space'&gt;Reasons for escalation of commitment from the slides: Cognitive dissonance, optimism, desire for control, low self-esteem, lack of affirmation for other ideas. &lt;p class='space'&gt;Escalation of commitment is a human behavior pattern in which an individual or group facing increasingly negative outcomes from a decision, action, or investment nevertheless continues the behavior instead of altering course.&lt;p class='space'&gt;As a byproduct of confirmation bias, we rarely seek out disconfirming evidence of what we believe. Instead, we tend to interpret evidence in a way that makes our past ideas seem better than they truly were. When we only seek out favorable evidence, it becomes easier to maintain our positive self-image.&lt;p class='space'&gt;Similar to sunk cost fallacy: Individuals commit the sunk cost fallacy when they continue a behavior or endeavor as a result of previously invested resources (time, money or effort) (Arkes &amp; Blumer, 1985). This fallacy, which is related to loss aversion and status quo bias, can also be viewed as bias resulting from an ongoing commitment.`, `HRM360-CH11`],</v>
      </c>
    </row>
    <row r="268" spans="1:4" ht="75">
      <c r="A268" s="3" t="s">
        <v>1053</v>
      </c>
      <c r="B268" s="5" t="s">
        <v>1054</v>
      </c>
      <c r="C268" s="3" t="s">
        <v>1074</v>
      </c>
      <c r="D268" s="3" t="str">
        <f>"[`" &amp; A268 &amp; "`,``,``,``,``, ``,`"  &amp; B268 &amp; "`, `" &amp; C268 &amp; "`]" &amp; IF(C269&lt;&gt;"",",","")</f>
        <v>[`What can be done to manage these decision-making biases and individual differences?`,``,``,``,``, ``,`&lt;p class='space'&gt;(1) Having access to accurate information sources &lt;p class='space'&gt;(2) Comprehensive strategizing and goal-setting &lt;p class='space'&gt;(3) Seeking dis-confirmation of initial conclusions, and generating further alternatives &lt;p class='space'&gt;(4) Having others review one’s reasoning `, `HRM360-CH11`],</v>
      </c>
    </row>
    <row r="269" spans="1:4" ht="90">
      <c r="A269" s="3" t="s">
        <v>1055</v>
      </c>
      <c r="B269" s="5" t="s">
        <v>1060</v>
      </c>
      <c r="C269" s="3" t="s">
        <v>1074</v>
      </c>
      <c r="D269" s="3" t="str">
        <f>"[`" &amp; A269 &amp; "`,``,``,``,``, ``,`"  &amp; B269 &amp; "`, `" &amp; C269 &amp; "`]" &amp; IF(C270&lt;&gt;"",",","")</f>
        <v>[`Group Decisions - Advantages and Disadvantages`,``,``,``,``, ``,`&lt;p class='space'&gt;Advantages:&lt;p class='space'&gt;(1) More knowledge by pooling member resources &lt;p class='space'&gt;(2) Increased commitment to decisions &lt;p class='space'&gt;(3) Greater understanding of the decision&lt;p class='space'&gt;Disadvantages&lt;p class='space'&gt;(1) Pressure for conformity (groupthink) &lt;p class='space'&gt;(2) Domination by forceful members &lt;p class='space'&gt;(3) Time and organization requirements  `, `HRM360-CH11`],</v>
      </c>
    </row>
    <row r="270" spans="1:4" ht="120">
      <c r="A270" s="3" t="s">
        <v>1061</v>
      </c>
      <c r="B270" s="5" t="s">
        <v>1063</v>
      </c>
      <c r="C270" s="3" t="s">
        <v>1074</v>
      </c>
      <c r="D270" s="3" t="str">
        <f>"[`" &amp; A270 &amp; "`,``,``,``,``, ``,`"  &amp; B270 &amp; "`, `" &amp; C270 &amp; "`]" &amp; IF(C271&lt;&gt;"",",","")</f>
        <v>[`Groupthink, what is it?`,``,``,``,``, ``,`&lt;p class='space'&gt;Groupthink is the practice of thinking or making decisions as a group in a way that discourages creativity or individual responsibility.&lt;p class='space'&gt;Strong group cohesion will lead to groupthink: &lt;p class='space'&gt;If structural faults exist: insulation, homogeneity of backgrounds, shared mindsets, the group normatively uses directive leadership &lt;p class='space'&gt;If a high pressure context is present: stress from external threats, low self-esteem from recent failures, time pressure, perceptions of task difficulty, important task `, `HRM360-CH11`],</v>
      </c>
    </row>
    <row r="271" spans="1:4" ht="45">
      <c r="A271" s="5" t="s">
        <v>1064</v>
      </c>
      <c r="B271" s="5" t="s">
        <v>1065</v>
      </c>
      <c r="C271" s="3" t="s">
        <v>1074</v>
      </c>
      <c r="D271" s="3" t="str">
        <f>"[`" &amp; A271 &amp; "`,``,``,``,``, ``,`"  &amp; B271 &amp; "`, `" &amp; C271 &amp; "`]" &amp; IF(C272&lt;&gt;"",",","")</f>
        <v>[`How can groupthink be reduced? `,``,``,``,``, ``,`&lt;p class='space'&gt;Create subgroups, &lt;p class='space'&gt;outside experts, &lt;p class='space'&gt;appoint devil’s advocate, &lt;p class='space'&gt;rethink position once consensus is reached `, `HRM360-CH11`],</v>
      </c>
    </row>
    <row r="272" spans="1:4" ht="90">
      <c r="A272" s="3" t="s">
        <v>1066</v>
      </c>
      <c r="B272" s="5" t="s">
        <v>1067</v>
      </c>
      <c r="C272" s="3" t="s">
        <v>1074</v>
      </c>
      <c r="D272" s="3" t="str">
        <f>"[`" &amp; A272 &amp; "`,``,``,``,``, ``,`"  &amp; B272 &amp; "`, `" &amp; C272 &amp; "`]" &amp; IF(C273&lt;&gt;"",",","")</f>
        <v>[`Groupthink notes:`,``,``,``,``, ``,`&lt;p class='space'&gt;Groupthink is not totally accurate:&lt;p class='space'&gt;Group cohesion does not necessarily precede groupthink since…&lt;p class='space'&gt; … directive leadership by itself leads to the restriction of consideration of alternatives&lt;p class='space'&gt; Other variables that influence groupthink: norms, leader power, task characteristics, stage of group development `, `HRM360-CH11`]</v>
      </c>
    </row>
  </sheetData>
  <autoFilter ref="A1:D272" xr:uid="{1FF23012-9E81-401A-988D-FBEDA03A7DD0}">
    <filterColumn colId="2">
      <filters>
        <filter val="HRM360-CH011"/>
        <filter val="HRM360-CH06"/>
        <filter val="HRM360-CH08"/>
        <filter val="HRM360-CH09"/>
      </filters>
    </filterColumn>
    <sortState ref="A190:D272">
      <sortCondition ref="C1:C272"/>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FAF8-9894-4B08-9B2B-2284B6B6761D}">
  <dimension ref="A1:A10"/>
  <sheetViews>
    <sheetView workbookViewId="0">
      <selection sqref="A1:A10"/>
    </sheetView>
  </sheetViews>
  <sheetFormatPr defaultRowHeight="15"/>
  <sheetData>
    <row r="1" spans="1:1">
      <c r="A1" t="s">
        <v>1003</v>
      </c>
    </row>
    <row r="2" spans="1:1">
      <c r="A2" t="s">
        <v>1004</v>
      </c>
    </row>
    <row r="3" spans="1:1">
      <c r="A3" t="s">
        <v>1005</v>
      </c>
    </row>
    <row r="4" spans="1:1">
      <c r="A4" t="s">
        <v>1006</v>
      </c>
    </row>
    <row r="5" spans="1:1">
      <c r="A5" t="s">
        <v>1007</v>
      </c>
    </row>
    <row r="6" spans="1:1">
      <c r="A6" t="s">
        <v>1008</v>
      </c>
    </row>
    <row r="7" spans="1:1">
      <c r="A7" t="s">
        <v>1009</v>
      </c>
    </row>
    <row r="8" spans="1:1">
      <c r="A8" t="s">
        <v>1010</v>
      </c>
    </row>
    <row r="9" spans="1:1">
      <c r="A9" t="s">
        <v>1011</v>
      </c>
    </row>
    <row r="10" spans="1:1">
      <c r="A10" t="s">
        <v>1012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cols>
    <col min="1" max="1" width="51.5703125" customWidth="1"/>
    <col min="2" max="2" width="63.85546875" customWidth="1"/>
    <col min="3" max="3" width="16.85546875" customWidth="1"/>
    <col min="4" max="4" width="34.7109375" customWidth="1"/>
  </cols>
  <sheetData>
    <row r="1" spans="1:4">
      <c r="A1" s="2" t="s">
        <v>77</v>
      </c>
      <c r="B1" s="3" t="s">
        <v>129</v>
      </c>
      <c r="C1" s="3" t="s">
        <v>78</v>
      </c>
      <c r="D1" s="3" t="s">
        <v>119</v>
      </c>
    </row>
    <row r="2" spans="1:4" hidden="1">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c r="A56" s="3" t="s">
        <v>171</v>
      </c>
      <c r="B56" s="3" t="s">
        <v>270</v>
      </c>
      <c r="C56" s="3" t="s">
        <v>131</v>
      </c>
      <c r="D56" s="3" t="str">
        <f t="shared" si="0"/>
        <v>[`Attitudes are?`,``,``,``,``, ``,`&lt;p class='space'&gt;Diet values, psychological tendencies, fleeting changes`, `HRM360-ch2`],</v>
      </c>
    </row>
    <row r="57" spans="1:4" hidden="1">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c r="A72" s="3" t="s">
        <v>182</v>
      </c>
      <c r="B72" s="5" t="s">
        <v>257</v>
      </c>
      <c r="C72" s="3" t="s">
        <v>131</v>
      </c>
      <c r="D72" s="3" t="str">
        <f t="shared" si="1"/>
        <v>[`What Contributes to Employee Engagement? Two Factors:`,``,``,``,``, ``,`&lt;p class='space'&gt;Person Factors&lt;p class='space'&gt;Situation Factors  `, `HRM360-ch2`],</v>
      </c>
    </row>
    <row r="73" spans="1:4" ht="30" hidden="1">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c r="A81" s="3" t="s">
        <v>295</v>
      </c>
      <c r="B81" s="3" t="s">
        <v>296</v>
      </c>
      <c r="C81" s="3" t="s">
        <v>294</v>
      </c>
      <c r="D81" s="3" t="str">
        <f t="shared" si="1"/>
        <v>[`Traits`,``,``,``,``, ``,`Facets of you that allow your behaviors to be predicted- in weak situations. `, `HRM360-ch3`],</v>
      </c>
    </row>
    <row r="82" spans="1:4" hidden="1">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c r="A83" s="3" t="s">
        <v>297</v>
      </c>
      <c r="B83" s="3" t="s">
        <v>331</v>
      </c>
      <c r="C83" s="3" t="s">
        <v>294</v>
      </c>
      <c r="D83" s="3" t="str">
        <f t="shared" si="1"/>
        <v>[`Emotions`,``,``,``,``, ``,`&lt;p class='space'&gt;happen suddenly - affect your ability to focus. Dissipate quickly.`, `HRM360-ch3`],</v>
      </c>
    </row>
    <row r="84" spans="1:4" hidden="1">
      <c r="A84" s="3" t="s">
        <v>298</v>
      </c>
      <c r="B84" s="3" t="s">
        <v>304</v>
      </c>
      <c r="C84" s="3" t="s">
        <v>294</v>
      </c>
      <c r="D84" s="3" t="str">
        <f t="shared" si="1"/>
        <v>[`Moods`,``,``,``,``, ``,`&lt;p class='space'&gt;Lower key - slowly shape your thoughts all day.`, `HRM360-ch3`],</v>
      </c>
    </row>
    <row r="85" spans="1:4" ht="60" hidden="1">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c r="A87" s="3" t="s">
        <v>333</v>
      </c>
      <c r="B87" s="3"/>
      <c r="C87" s="3" t="s">
        <v>294</v>
      </c>
      <c r="D87" s="3" t="str">
        <f t="shared" si="1"/>
        <v>[`Affectivity original model`,``,``,``,``, ``,``, `HRM360-ch3`],</v>
      </c>
    </row>
    <row r="88" spans="1:4" ht="75" hidden="1">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c r="A89" s="3" t="s">
        <v>334</v>
      </c>
      <c r="B89" s="3" t="s">
        <v>306</v>
      </c>
      <c r="C89" s="3" t="s">
        <v>294</v>
      </c>
      <c r="D89" s="3" t="str">
        <f t="shared" si="1"/>
        <v>[`Positive/Negative Affectivity align with`,``,``,``,``, ``,`&lt;p class='space'&gt;Big five Neuroticism  and extroversion`, `HRM360-ch3`],</v>
      </c>
    </row>
    <row r="90" spans="1:4" hidden="1">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c r="A91" s="3" t="s">
        <v>307</v>
      </c>
      <c r="B91" s="3" t="s">
        <v>309</v>
      </c>
      <c r="C91" s="3" t="s">
        <v>294</v>
      </c>
      <c r="D91" s="3" t="str">
        <f t="shared" si="1"/>
        <v>[`Employee burnout more likely when one has:`,``,``,``,``, ``,`&lt;p class='space'&gt;High negative affectivity`, `HRM360-ch3`],</v>
      </c>
    </row>
    <row r="92" spans="1:4" hidden="1">
      <c r="A92" s="3" t="s">
        <v>308</v>
      </c>
      <c r="B92" s="3" t="s">
        <v>310</v>
      </c>
      <c r="C92" s="3" t="s">
        <v>294</v>
      </c>
      <c r="D92" s="3" t="str">
        <f t="shared" si="1"/>
        <v>[`Least likely to burnout:`,``,``,``,``, ``,`&lt;p class='space'&gt;Low negative affectivity`, `HRM360-ch3`],</v>
      </c>
    </row>
    <row r="93" spans="1:4" ht="45" hidden="1">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c r="A105" s="3" t="s">
        <v>341</v>
      </c>
      <c r="B105" s="3" t="s">
        <v>346</v>
      </c>
      <c r="C105" s="3" t="s">
        <v>294</v>
      </c>
      <c r="D105" s="3" t="str">
        <f t="shared" si="1"/>
        <v>[`Self-Efficacy:`,``,``,``,``, ``,`&lt;p class='space'&gt;Self-Efficacy: Overall belief of how effectively one can perform, cope, or succeed in various situations`, `HRM360-ch3`],</v>
      </c>
    </row>
    <row r="106" spans="1:4" hidden="1">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c r="A108" s="3" t="s">
        <v>354</v>
      </c>
      <c r="B108" s="3" t="s">
        <v>369</v>
      </c>
      <c r="C108" s="3" t="s">
        <v>294</v>
      </c>
      <c r="D108" s="3" t="str">
        <f t="shared" si="1"/>
        <v>[`“Ideal Employee” Personality`,``,``,``,``, ``,`&lt;p class='space'&gt;There Is No “Ideal Employee” Personality`, `HRM360-ch3`],</v>
      </c>
    </row>
    <row r="109" spans="1:4" hidden="1">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c r="A111" s="3" t="s">
        <v>358</v>
      </c>
      <c r="B111" s="3" t="s">
        <v>362</v>
      </c>
      <c r="C111" s="3" t="s">
        <v>294</v>
      </c>
      <c r="D111" s="3" t="str">
        <f t="shared" si="1"/>
        <v>[`Core self-evaluations -  Self-esteem`,``,``,``,``, ``,`&lt;p class='space'&gt;Self-esteem is your general belief about your own self-worth. `, `HRM360-ch3`],</v>
      </c>
    </row>
    <row r="112" spans="1:4" hidden="1">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c r="A114" s="5" t="s">
        <v>378</v>
      </c>
      <c r="B114" s="3" t="s">
        <v>379</v>
      </c>
      <c r="C114" s="3" t="s">
        <v>294</v>
      </c>
      <c r="D114" s="3" t="str">
        <f t="shared" si="1"/>
        <v>[`Which Big 5 factors predict the following? Performance? `,``,``,``,``, ``,`&lt;p class='space'&gt;consciousness`, `HRM360-ch3`],</v>
      </c>
    </row>
    <row r="115" spans="1:4" ht="30" hidden="1">
      <c r="A115" s="5" t="s">
        <v>377</v>
      </c>
      <c r="B115" s="3" t="s">
        <v>379</v>
      </c>
      <c r="C115" s="3" t="s">
        <v>294</v>
      </c>
      <c r="D115" s="3" t="str">
        <f t="shared" si="1"/>
        <v>[`Which Big 5 factors predict the following? Occupational Success?`,``,``,``,``, ``,`&lt;p class='space'&gt;consciousness`, `HRM360-ch3`],</v>
      </c>
    </row>
    <row r="116" spans="1:4" ht="30" hidden="1">
      <c r="A116" s="5" t="s">
        <v>376</v>
      </c>
      <c r="B116" s="3" t="s">
        <v>381</v>
      </c>
      <c r="C116" s="3" t="s">
        <v>294</v>
      </c>
      <c r="D116" s="3" t="str">
        <f t="shared" si="1"/>
        <v>[`Which Big 5 factors predict the following? Performance in social interactions?`,``,``,``,``, ``,`&lt;p class='space'&gt;extroversion`, `HRM360-ch3`],</v>
      </c>
    </row>
    <row r="117" spans="1:4" hidden="1">
      <c r="A117" s="3" t="s">
        <v>390</v>
      </c>
      <c r="B117" s="3" t="s">
        <v>381</v>
      </c>
      <c r="C117" s="3" t="s">
        <v>294</v>
      </c>
      <c r="D117" s="3" t="str">
        <f t="shared" si="1"/>
        <v>[`Which Big 5 factors predict the following? Performance in customer service?`,``,``,``,``, ``,`&lt;p class='space'&gt;extroversion`, `HRM360-ch3`],</v>
      </c>
    </row>
    <row r="118" spans="1:4" hidden="1">
      <c r="A118" s="3" t="s">
        <v>391</v>
      </c>
      <c r="B118" s="3" t="s">
        <v>380</v>
      </c>
      <c r="C118" s="3" t="s">
        <v>294</v>
      </c>
      <c r="D118" s="3" t="str">
        <f t="shared" si="1"/>
        <v>[`Which Big 5 factors predict the following? Team Performance?`,``,``,``,``, ``,`&lt;p class='space'&gt;consciousness  - agreeableness`, `HRM360-ch3`],</v>
      </c>
    </row>
    <row r="119" spans="1:4" hidden="1">
      <c r="A119" s="3" t="s">
        <v>392</v>
      </c>
      <c r="B119" s="3" t="s">
        <v>393</v>
      </c>
      <c r="C119" s="3" t="s">
        <v>294</v>
      </c>
      <c r="D119" s="3" t="str">
        <f t="shared" si="1"/>
        <v>[`Which Big 5 factors predict the following? Emotional Support?`,``,``,``,``, ``,`&lt;p class='space'&gt; emotional stability - agreeableness`, `HRM360-ch3`],</v>
      </c>
    </row>
    <row r="120" spans="1:4" hidden="1">
      <c r="A120" s="3" t="s">
        <v>394</v>
      </c>
      <c r="B120" s="3" t="s">
        <v>382</v>
      </c>
      <c r="C120" s="3" t="s">
        <v>294</v>
      </c>
      <c r="D120" s="3" t="str">
        <f t="shared" si="1"/>
        <v>[`Which Big 5 factors predict the following? Creativity or Innovation?`,``,``,``,``, ``,`&lt;p class='space'&gt;openness`, `HRM360-ch3`],</v>
      </c>
    </row>
    <row r="121" spans="1:4" hidden="1">
      <c r="A121" s="3" t="s">
        <v>395</v>
      </c>
      <c r="B121" s="3" t="s">
        <v>383</v>
      </c>
      <c r="C121" s="3" t="s">
        <v>294</v>
      </c>
      <c r="D121" s="3" t="str">
        <f t="shared" si="1"/>
        <v>[`Which Big 5 factors predict the following? Helping Behavior?`,``,``,``,``, ``,`&lt;p class='space'&gt;agreeableness`, `HRM360-ch3`],</v>
      </c>
    </row>
    <row r="122" spans="1:4" hidden="1">
      <c r="A122" s="3" t="s">
        <v>396</v>
      </c>
      <c r="B122" s="3" t="s">
        <v>384</v>
      </c>
      <c r="C122" s="3" t="s">
        <v>294</v>
      </c>
      <c r="D122" s="3" t="str">
        <f t="shared" si="1"/>
        <v>[`Which Big 5 factors predict the following? Burnout?`,``,``,``,``, ``,`&lt;p class='space'&gt;low emotional stability`, `HRM360-ch3`],</v>
      </c>
    </row>
    <row r="123" spans="1:4" hidden="1">
      <c r="A123" s="3" t="s">
        <v>397</v>
      </c>
      <c r="B123" s="3" t="s">
        <v>385</v>
      </c>
      <c r="C123" s="3" t="s">
        <v>294</v>
      </c>
      <c r="D123" s="3" t="str">
        <f t="shared" si="1"/>
        <v>[`Which Big 5 factors predict the following? Transformational Leadership?`,``,``,``,``, ``,`&lt;p class='space'&gt;extroversion - agreeableness`, `HRM360-ch3`],</v>
      </c>
    </row>
    <row r="124" spans="1:4" ht="45" hidden="1">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c r="A129" s="3" t="s">
        <v>386</v>
      </c>
      <c r="B129" s="3" t="s">
        <v>388</v>
      </c>
      <c r="C129" s="3" t="s">
        <v>370</v>
      </c>
      <c r="D129" s="3" t="str">
        <f t="shared" si="1"/>
        <v>[`Determining attitudes vs values which is easier `,``,``,``,``, ``,`&lt;p class='space'&gt;Attitudes are much easier to see`, `HRM360-ch4`],</v>
      </c>
    </row>
    <row r="130" spans="1:4" ht="75" hidden="1">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c r="A133" s="3" t="s">
        <v>400</v>
      </c>
      <c r="B133" s="3" t="s">
        <v>431</v>
      </c>
      <c r="C133" s="3" t="s">
        <v>370</v>
      </c>
      <c r="D133" s="3" t="str">
        <f t="shared" si="2"/>
        <v>[`Self-serving Bias`,``,``,``,``, ``,`&lt;p class='space'&gt;One's tendency to take credit for success and deny blame for failure`, `HRM360-ch4`],</v>
      </c>
    </row>
    <row r="134" spans="1:4" hidden="1">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c r="A142" s="3" t="s">
        <v>420</v>
      </c>
      <c r="B142" s="3" t="s">
        <v>419</v>
      </c>
      <c r="C142" s="3" t="s">
        <v>370</v>
      </c>
      <c r="D142" s="3" t="str">
        <f t="shared" si="2"/>
        <v>[`Fundamental attribution error also:`,``,``,``,``, ``,`&lt;p class='space'&gt;Fundamental attribution error (a.k.a., the correspondence bias):`, `HRM360-ch4`],</v>
      </c>
    </row>
    <row r="143" spans="1:4" ht="120" hidden="1">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c r="A150" s="5" t="s">
        <v>434</v>
      </c>
      <c r="B150" s="3" t="s">
        <v>435</v>
      </c>
      <c r="C150" s="3" t="s">
        <v>370</v>
      </c>
      <c r="D150" s="3" t="str">
        <f t="shared" si="2"/>
        <v>[` Causal Attributions`,``,``,``,``, ``,`&lt;p class='space'&gt;Causal attributions are suspected or inferred causes of behavior. `, `HRM360-ch4`],</v>
      </c>
    </row>
    <row r="151" spans="1:4" hidden="1">
      <c r="A151" s="3" t="s">
        <v>75</v>
      </c>
      <c r="B151" s="3" t="s">
        <v>199</v>
      </c>
      <c r="C151" s="3" t="s">
        <v>76</v>
      </c>
      <c r="D151" s="3" t="str">
        <f t="shared" si="2"/>
        <v>[`Extrinsic motivation`,``,``,``,``, ``,`&lt;p class='space'&gt;results from the potential or actual receipt of external rewards`, `HRM360-ch5`],</v>
      </c>
    </row>
    <row r="152" spans="1:4" hidden="1">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c r="A158" s="3" t="s">
        <v>85</v>
      </c>
      <c r="B158" s="3" t="s">
        <v>203</v>
      </c>
      <c r="C158" s="3" t="s">
        <v>76</v>
      </c>
      <c r="D158" s="3" t="str">
        <f t="shared" si="2"/>
        <v>[`Maslow's need - Physiological`,``,``,``,``, ``,`&lt;p class='space'&gt;Most basic need - food, air, and water to survive`, `HRM360-ch5`],</v>
      </c>
    </row>
    <row r="159" spans="1:4" hidden="1">
      <c r="A159" s="3" t="s">
        <v>86</v>
      </c>
      <c r="B159" s="3" t="s">
        <v>204</v>
      </c>
      <c r="C159" s="3" t="s">
        <v>76</v>
      </c>
      <c r="D159" s="3" t="str">
        <f t="shared" si="2"/>
        <v>[`Maslow's need - Safety`,``,``,``,``, ``,`&lt;p class='space'&gt;Safe from physical and psychological harm`, `HRM360-ch5`],</v>
      </c>
    </row>
    <row r="160" spans="1:4" hidden="1">
      <c r="A160" s="3" t="s">
        <v>87</v>
      </c>
      <c r="B160" s="3" t="s">
        <v>323</v>
      </c>
      <c r="C160" s="3" t="s">
        <v>76</v>
      </c>
      <c r="D160" s="3" t="str">
        <f t="shared" si="2"/>
        <v>[`Maslow's need - love`,``,``,``,``, ``,`&lt;p class='space'&gt;desire to be loved and to love - needs for affection and belonging`, `HRM360-ch5`],</v>
      </c>
    </row>
    <row r="161" spans="1:4" hidden="1">
      <c r="A161" s="3" t="s">
        <v>88</v>
      </c>
      <c r="B161" s="3" t="s">
        <v>324</v>
      </c>
      <c r="C161" s="3" t="s">
        <v>76</v>
      </c>
      <c r="D161" s="3" t="str">
        <f t="shared" si="2"/>
        <v>[`Maslow's need - Esteem`,``,``,``,``, ``,`&lt;p class='space'&gt;Need for reputation, prestige, and recognition from others. Included need for self-confidence and strength`, `HRM360-ch5`],</v>
      </c>
    </row>
    <row r="162" spans="1:4" hidden="1">
      <c r="A162" s="3" t="s">
        <v>192</v>
      </c>
      <c r="B162" s="3" t="s">
        <v>205</v>
      </c>
      <c r="C162" s="3" t="s">
        <v>76</v>
      </c>
      <c r="D162" s="3" t="str">
        <f t="shared" si="2"/>
        <v>[`Maslow's need - Self-Actualization`,``,``,``,``, ``,`&lt;p class='space'&gt;Desire for self fulfillment - to become the best one is capable of becoming.`, `HRM360-ch5`],</v>
      </c>
    </row>
    <row r="163" spans="1:4" hidden="1">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c r="A175" s="3" t="s">
        <v>442</v>
      </c>
      <c r="B175" s="3"/>
      <c r="C175" s="3" t="s">
        <v>76</v>
      </c>
      <c r="D175" s="3" t="str">
        <f t="shared" si="2"/>
        <v>[`*Expectancy theory`,``,``,``,``, ``,``, `HRM360-ch5`],</v>
      </c>
    </row>
    <row r="176" spans="1:4" hidden="1">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c r="A195" s="3" t="s">
        <v>480</v>
      </c>
      <c r="B195" s="3" t="s">
        <v>481</v>
      </c>
      <c r="C195" s="3" t="s">
        <v>482</v>
      </c>
      <c r="D195" s="3" t="str">
        <f t="shared" si="3"/>
        <v>[`Tuckman’s Five-Stage Model of Group Development`,``,``,``,``, ``,`forming, storming, norming, performing, adjourning`, `HRM360-ch8`],</v>
      </c>
    </row>
    <row r="196" spans="1:4" hidden="1">
      <c r="A196" s="3" t="s">
        <v>484</v>
      </c>
      <c r="B196" s="3" t="s">
        <v>490</v>
      </c>
      <c r="C196" s="3" t="s">
        <v>494</v>
      </c>
      <c r="D196" s="3" t="str">
        <f t="shared" si="3"/>
        <v>[`Flex box - set items into evenly spread row`,``,``,``,``, ``,`Parent&lt;p class='space'&gt;display: flex;&lt;p class='space'&gt;justify-content: space-around;`, `IS445-HTML/CSS`],</v>
      </c>
    </row>
    <row r="197" spans="1:4" hidden="1">
      <c r="A197" s="3" t="s">
        <v>485</v>
      </c>
      <c r="B197" s="3" t="s">
        <v>486</v>
      </c>
      <c r="C197" s="3" t="s">
        <v>494</v>
      </c>
      <c r="D197" s="3" t="str">
        <f t="shared" si="3"/>
        <v>[`Where is the best refernce site for HTML-CSS rules/docs?`,``,``,``,``, ``,`MDN web docs - https://developer.mozilla.org/en-US/docs/Web`, `IS445-HTML/CSS`],</v>
      </c>
    </row>
    <row r="198" spans="1:4" ht="105" hidden="1">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c r="A201" s="4" t="s">
        <v>46</v>
      </c>
      <c r="B201" s="3" t="s">
        <v>47</v>
      </c>
      <c r="C201" s="3" t="s">
        <v>495</v>
      </c>
      <c r="D201" s="3" t="str">
        <f t="shared" si="4"/>
        <v>[`  What is metadata?`,``,``,``,``, ``,`Data about data; that is, data about data characteristics and relationships.`, `IS380-ch01`],</v>
      </c>
    </row>
    <row r="202" spans="1:4" ht="45" hidden="1">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c r="A204" s="3" t="s">
        <v>842</v>
      </c>
      <c r="B204" s="3" t="s">
        <v>51</v>
      </c>
      <c r="C204" s="3" t="s">
        <v>495</v>
      </c>
      <c r="D204" s="3" t="str">
        <f t="shared" si="4"/>
        <v>[`What are some disadvantages of using a Database System?`,``,``,``,``, ``,`Cost, need to hire technical staff to design, manage, and operate the DBMS system.`, `IS380-ch01`],</v>
      </c>
    </row>
    <row r="205" spans="1:4" ht="255" hidden="1">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c r="A227" s="3" t="s">
        <v>498</v>
      </c>
      <c r="B227" s="3" t="s">
        <v>529</v>
      </c>
      <c r="C227" s="3" t="s">
        <v>495</v>
      </c>
      <c r="D227" s="3" t="str">
        <f t="shared" si="4"/>
        <v>[`The main objective of relational DBMSs is `,``,``,``,``, ``,`&lt;p class='space'&gt;data independence`, `IS380-ch01`],</v>
      </c>
    </row>
    <row r="228" spans="1:4" hidden="1">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c r="A247" t="s">
        <v>785</v>
      </c>
      <c r="B247" t="s">
        <v>821</v>
      </c>
      <c r="C247" s="3" t="s">
        <v>505</v>
      </c>
      <c r="D247" s="3" t="str">
        <f t="shared" si="5"/>
        <v>[`What is a class? – `,``,``,``,``, ``,`&lt;p class='space'&gt;A class is a template for an object.`, `IS380-ch02`],</v>
      </c>
    </row>
    <row r="248" spans="1:4" hidden="1">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c r="A253" t="s">
        <v>791</v>
      </c>
      <c r="B253" t="s">
        <v>827</v>
      </c>
      <c r="C253" s="3" t="s">
        <v>505</v>
      </c>
      <c r="D253" s="3" t="str">
        <f t="shared" si="5"/>
        <v>[`NoSQL - Is the priority performance or consistency?`,``,``,``,``, ``,`&lt;p class='space'&gt;They are geared for performance.`, `IS380-ch02`],</v>
      </c>
    </row>
    <row r="254" spans="1:4" hidden="1">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c r="A262" t="s">
        <v>562</v>
      </c>
      <c r="B262" t="s">
        <v>614</v>
      </c>
      <c r="C262" s="3" t="s">
        <v>541</v>
      </c>
      <c r="D262" s="3" t="str">
        <f t="shared" si="5"/>
        <v>[`In reference to dependencies - define dependent`,``,``,``,``, ``,`&lt;p class='space'&gt;An attribute whose value is determined by another attribute.`, `IS380-ch03`],</v>
      </c>
    </row>
    <row r="263" spans="1:4">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c r="A272" t="s">
        <v>573</v>
      </c>
      <c r="B272" t="s">
        <v>618</v>
      </c>
      <c r="C272" t="s">
        <v>541</v>
      </c>
      <c r="D272" s="3" t="str">
        <f t="shared" si="6"/>
        <v>[`What is the System Catalog?`,``,``,``,``, ``,`&lt;p class='space'&gt;A detailed system data dictionary that describes all objects in a database.`, `IS380-ch03`],</v>
      </c>
    </row>
    <row r="273" spans="1:4" hidden="1">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c r="A280" t="s">
        <v>865</v>
      </c>
      <c r="B280" t="s">
        <v>864</v>
      </c>
      <c r="C280" t="s">
        <v>541</v>
      </c>
      <c r="D280" s="3" t="str">
        <f t="shared" si="6"/>
        <v>[`Determination is the:`,``,``,``,``, ``,`\nDetermination is the state in which knowing the value of one attribute makes it possible to determine the value of another.`, `IS380-ch03`],</v>
      </c>
    </row>
    <row r="281" spans="1:4" hidden="1">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c r="A283" t="s">
        <v>579</v>
      </c>
      <c r="B283" t="s">
        <v>624</v>
      </c>
      <c r="C283" t="s">
        <v>563</v>
      </c>
      <c r="D283" s="3" t="str">
        <f t="shared" si="6"/>
        <v>[`How should relational databases implement the following? - Many to Many relationship`,``,``,``,``, ``,`&lt;p class='space'&gt;create a new entity by using a bridging table.`, `IS380-ch04`],</v>
      </c>
    </row>
    <row r="284" spans="1:4" hidden="1">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c r="A296" t="s">
        <v>593</v>
      </c>
      <c r="B296" t="s">
        <v>635</v>
      </c>
      <c r="C296" t="s">
        <v>563</v>
      </c>
      <c r="D296" s="3" t="str">
        <f t="shared" si="7"/>
        <v>[`What is normalization? Why do it?`,``,``,``,``, ``,`&lt;p class='space'&gt;Normalization is designing tables to minimize if not eliminate data redundancies.`, `IS380-ch04`],</v>
      </c>
    </row>
    <row r="297" spans="1:4" hidden="1">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c r="A302" t="s">
        <v>701</v>
      </c>
      <c r="B302" t="s">
        <v>710</v>
      </c>
      <c r="C302" t="s">
        <v>563</v>
      </c>
      <c r="D302" s="3" t="str">
        <f t="shared" si="7"/>
        <v>[`What is A derived attribute?`,``,``,``,``, ``,`&lt;p class='space'&gt;Derived – A derived attribute is one that is calculated from 1 or more other attributes.`, `IS380-ch04`],</v>
      </c>
    </row>
    <row r="303" spans="1:4" hidden="1">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c r="A304" t="s">
        <v>706</v>
      </c>
      <c r="B304" t="s">
        <v>713</v>
      </c>
      <c r="C304" s="3" t="s">
        <v>704</v>
      </c>
      <c r="D304" s="3" t="str">
        <f t="shared" si="7"/>
        <v>[`Social loafing is:`,``,``,``,``, ``,`&lt;p class='space'&gt;Social loafing is the tendency for individual effort to decline as group size increases. `, `HRM360-CH08`],</v>
      </c>
    </row>
    <row r="305" spans="1:4" hidden="1">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c r="A314" t="s">
        <v>728</v>
      </c>
      <c r="B314" t="s">
        <v>738</v>
      </c>
      <c r="C314" s="3" t="s">
        <v>725</v>
      </c>
      <c r="D314" s="3" t="str">
        <f t="shared" si="7"/>
        <v>[`Negotiation is`,``,``,``,``, ``,`&lt;p class='space'&gt; a give-and-take decision-making process between two or more parties with different preferences. `, `HRM360-CH10`],</v>
      </c>
    </row>
    <row r="315" spans="1:4" hidden="1">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c r="A316" t="s">
        <v>724</v>
      </c>
      <c r="B316" t="s">
        <v>740</v>
      </c>
      <c r="C316" s="3" t="s">
        <v>725</v>
      </c>
      <c r="D316" s="3" t="str">
        <f t="shared" si="7"/>
        <v>[`personality conflict`,``,``,``,``, ``,`&lt;p class='space'&gt; personality conflict is interpersonal opposition based on personal dislike or disagreement.`, `HRM360-CH10`],</v>
      </c>
    </row>
    <row r="317" spans="1:4" hidden="1">
      <c r="A317" t="s">
        <v>727</v>
      </c>
      <c r="B317" t="s">
        <v>741</v>
      </c>
      <c r="C317" s="3" t="s">
        <v>725</v>
      </c>
      <c r="D317" s="3" t="str">
        <f t="shared" si="7"/>
        <v>[`assigns someone the role of critic. `,``,``,``,``, ``,`&lt;p class='space'&gt;devil’s advocacy assigns someone the role of critic. `, `HRM360-CH10`],</v>
      </c>
    </row>
    <row r="318" spans="1:4" hidden="1">
      <c r="A318" t="s">
        <v>729</v>
      </c>
      <c r="B318" t="s">
        <v>742</v>
      </c>
      <c r="C318" s="3" t="s">
        <v>725</v>
      </c>
      <c r="D318" s="3" t="str">
        <f t="shared" si="7"/>
        <v>[`usually concerns a single issue—a “fixed pie”—in which one person gains at the expense of another`,``,``,``,``, ``,`&lt;p class='space'&gt; distributive negotiation `, `HRM360-CH10`],</v>
      </c>
    </row>
    <row r="319" spans="1:4" hidden="1">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c r="A320" t="s">
        <v>731</v>
      </c>
      <c r="B320" s="11" t="s">
        <v>744</v>
      </c>
      <c r="C320" s="3" t="s">
        <v>725</v>
      </c>
      <c r="D320" s="3" t="e">
        <f>"[`" &amp; A320 &amp; "`,``,``,``,``, ``,`"  &amp; B320 &amp; "`, `" &amp; C320 &amp; "`]" &amp; IF(#REF!&lt;&gt;"",",","")</f>
        <v>#REF!</v>
      </c>
    </row>
    <row r="321" spans="1:4" hidden="1">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c r="A324" t="s">
        <v>754</v>
      </c>
      <c r="B324" t="s">
        <v>813</v>
      </c>
    </row>
    <row r="325" spans="1:4" ht="105" hidden="1">
      <c r="A325" t="s">
        <v>775</v>
      </c>
      <c r="B325" s="11" t="s">
        <v>814</v>
      </c>
    </row>
    <row r="326" spans="1:4" hidden="1">
      <c r="A326" t="s">
        <v>776</v>
      </c>
      <c r="B326" t="s">
        <v>815</v>
      </c>
    </row>
    <row r="327" spans="1:4" hidden="1">
      <c r="A327" t="s">
        <v>777</v>
      </c>
      <c r="B327" t="s">
        <v>816</v>
      </c>
    </row>
    <row r="328" spans="1:4" hidden="1">
      <c r="A328" t="s">
        <v>778</v>
      </c>
      <c r="B328" t="s">
        <v>817</v>
      </c>
    </row>
    <row r="329" spans="1:4" hidden="1">
      <c r="A329" t="s">
        <v>779</v>
      </c>
      <c r="B329" t="s">
        <v>818</v>
      </c>
    </row>
    <row r="330" spans="1:4" ht="90" hidden="1">
      <c r="A330" t="s">
        <v>780</v>
      </c>
      <c r="B330" s="11" t="s">
        <v>819</v>
      </c>
    </row>
    <row r="331" spans="1:4" hidden="1">
      <c r="A331" t="s">
        <v>781</v>
      </c>
      <c r="B331" t="s">
        <v>820</v>
      </c>
    </row>
    <row r="332" spans="1:4" hidden="1">
      <c r="A332" t="s">
        <v>774</v>
      </c>
    </row>
    <row r="333" spans="1:4" hidden="1">
      <c r="A333" t="s">
        <v>774</v>
      </c>
    </row>
    <row r="334" spans="1:4" hidden="1">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c r="A341" t="s">
        <v>544</v>
      </c>
      <c r="B341" s="11" t="s">
        <v>602</v>
      </c>
      <c r="C341" s="3" t="s">
        <v>542</v>
      </c>
      <c r="D341" s="3" t="str">
        <f t="shared" si="8"/>
        <v>[`determinant`,``,``,``,``, ``,`&lt;p class='space'&gt;Any attribute in a specific row whose value directly determines other values in that row.`, `IS380-ch06`],</v>
      </c>
    </row>
    <row r="342" spans="1:4" ht="60" hidden="1">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c r="A345" t="s">
        <v>548</v>
      </c>
      <c r="B345" t="s">
        <v>641</v>
      </c>
      <c r="C345" s="3" t="s">
        <v>542</v>
      </c>
      <c r="D345" s="3" t="str">
        <f t="shared" si="8"/>
        <v>[`transitive dependency `,``,``,``,``, ``,`&lt;p class='space'&gt;A condition in which an attribute is dependent on another attribute that is not part of the primary key. `, `IS380-ch06`],</v>
      </c>
    </row>
    <row r="346" spans="1:4" hidden="1">
      <c r="A346" t="s">
        <v>549</v>
      </c>
      <c r="B346" t="s">
        <v>642</v>
      </c>
      <c r="C346" s="3" t="s">
        <v>542</v>
      </c>
      <c r="D346" s="3" t="str">
        <f t="shared" si="8"/>
        <v>[`prime attribute `,``,``,``,``, ``,`&lt;p class='space'&gt;A key attribute; that is, an attribute that is part of a key or is the whole key. See also key attributes. `, `IS380-ch06`],</v>
      </c>
    </row>
    <row r="347" spans="1:4" hidden="1">
      <c r="A347" t="s">
        <v>550</v>
      </c>
      <c r="B347" t="s">
        <v>643</v>
      </c>
      <c r="C347" s="3" t="s">
        <v>542</v>
      </c>
      <c r="D347" s="3" t="str">
        <f t="shared" si="8"/>
        <v>[`partial dependency `,``,``,``,``, ``,`&lt;p class='space'&gt;A condition in which an attribute is dependent on only a portion (subset) of the primary key. `, `IS380-ch06`],</v>
      </c>
    </row>
    <row r="348" spans="1:4" hidden="1">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c r="A349" t="s">
        <v>552</v>
      </c>
      <c r="B349" t="s">
        <v>644</v>
      </c>
      <c r="C349" s="3" t="s">
        <v>542</v>
      </c>
      <c r="D349" s="3" t="str">
        <f t="shared" si="8"/>
        <v>[`key attribute `,``,``,``,``, ``,`&lt;p class='space'&gt;The attributes that form a primary key. See also prime attribute.`, `IS380-ch06`],</v>
      </c>
    </row>
    <row r="350" spans="1:4" ht="30" hidden="1">
      <c r="A350" t="s">
        <v>553</v>
      </c>
      <c r="B350" s="11" t="s">
        <v>607</v>
      </c>
      <c r="C350" s="3" t="s">
        <v>542</v>
      </c>
      <c r="D350" s="3" t="str">
        <f t="shared" si="8"/>
        <v>[`nonkey attribute`,``,``,``,``, ``,`&lt;p class='space'&gt;also called a nonprime attribute&lt;p class='space'&gt;An attribute that is not part of a key. `, `IS380-ch06`],</v>
      </c>
    </row>
    <row r="351" spans="1:4" hidden="1">
      <c r="A351" t="s">
        <v>554</v>
      </c>
      <c r="B351" t="s">
        <v>764</v>
      </c>
      <c r="C351" s="3" t="s">
        <v>542</v>
      </c>
      <c r="D351" s="3" t="str">
        <f t="shared" si="8"/>
        <v>[`normalization`,``,``,``,``, ``,`&lt;p class='space'&gt;A process that assigns attributes to entities so that data redundancies are reduced or eliminated. `, `IS380-ch06`],</v>
      </c>
    </row>
    <row r="352" spans="1:4" hidden="1">
      <c r="A352" t="s">
        <v>555</v>
      </c>
      <c r="B352" t="s">
        <v>645</v>
      </c>
      <c r="C352" s="3" t="s">
        <v>542</v>
      </c>
      <c r="D352" s="3" t="str">
        <f t="shared" si="8"/>
        <v>[`dependency diagram`,``,``,``,``, ``,`&lt;p class='space'&gt;A representation of all data dependencies (primary key, partial, or transitive) within a table.`, `IS380-ch06`],</v>
      </c>
    </row>
    <row r="353" spans="1:4" hidden="1">
      <c r="A353" t="s">
        <v>556</v>
      </c>
      <c r="B353" s="11" t="s">
        <v>608</v>
      </c>
      <c r="C353" s="3" t="s">
        <v>542</v>
      </c>
      <c r="D353" s="3" t="str">
        <f t="shared" si="8"/>
        <v>[`atomicity`,``,``,``,``, ``,`&lt;p class='space'&gt;Not being able to be divided into smaller units.  `, `IS380-ch06`],</v>
      </c>
    </row>
    <row r="354" spans="1:4" hidden="1">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c r="A359" t="s">
        <v>702</v>
      </c>
      <c r="B359" t="s">
        <v>711</v>
      </c>
      <c r="C359" s="3" t="s">
        <v>542</v>
      </c>
      <c r="D359" s="3" t="str">
        <f t="shared" si="8"/>
        <v>[`How should relational databases implement a Many to Many relationship?`,``,``,``,``, ``,`&lt;p class='space'&gt;Create a new entity by using a bridging table.`, `IS380-ch06`],</v>
      </c>
    </row>
    <row r="360" spans="1:4" hidden="1">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c r="A369" t="s">
        <v>849</v>
      </c>
      <c r="B369" t="s">
        <v>747</v>
      </c>
      <c r="C369" s="3" t="s">
        <v>542</v>
      </c>
      <c r="D369" s="3" t="str">
        <f t="shared" si="9"/>
        <v>[`Explain the following relationship degree:  Ternary`,``,``,``,``, ``,`A ternary relationship is an association (relationship) between three entities.`, `IS380-ch06`],</v>
      </c>
    </row>
    <row r="370" spans="1:4" ht="30" hidden="1">
      <c r="A370" t="s">
        <v>593</v>
      </c>
      <c r="B370" s="11" t="s">
        <v>635</v>
      </c>
      <c r="C370" s="3" t="s">
        <v>542</v>
      </c>
      <c r="D370" s="3" t="str">
        <f t="shared" si="9"/>
        <v>[`What is normalization? Why do it?`,``,``,``,``, ``,`&lt;p class='space'&gt;Normalization is designing tables to minimize if not eliminate data redundancies.`, `IS380-ch06`],</v>
      </c>
    </row>
    <row r="371" spans="1:4" ht="75" hidden="1">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c r="A374" t="s">
        <v>751</v>
      </c>
      <c r="B374" t="s">
        <v>761</v>
      </c>
      <c r="C374" s="3" t="s">
        <v>542</v>
      </c>
      <c r="D374" s="3" t="str">
        <f t="shared" si="9"/>
        <v>[`What is 2NF?`,``,``,``,``, ``,`&lt;p class='space'&gt;Second normal form (2NF), which means the data is 1NF and there are no partial dependencies`, `IS380-ch06`],</v>
      </c>
    </row>
    <row r="375" spans="1:4" hidden="1">
      <c r="A375" t="s">
        <v>752</v>
      </c>
      <c r="B375" t="s">
        <v>762</v>
      </c>
      <c r="C375" s="3" t="s">
        <v>542</v>
      </c>
      <c r="D375" s="3" t="str">
        <f t="shared" si="9"/>
        <v>[`What is 3NF?`,``,``,``,``, ``,`&lt;p class='space'&gt;Third normal form (3NF), which means 2NF and no transitive dependencies`, `IS380-ch06`],</v>
      </c>
    </row>
    <row r="376" spans="1:4" hidden="1">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c r="A380" s="3" t="s">
        <v>658</v>
      </c>
      <c r="B380" s="5" t="s">
        <v>679</v>
      </c>
      <c r="C380" s="3" t="s">
        <v>654</v>
      </c>
      <c r="D380" s="3" t="str">
        <f t="shared" si="9"/>
        <v>[`TCL`,``,``,``,``, ``,`&lt;p class='space'&gt;Transaction Control Language (TCL) - COMMIT, ROLLBACK, SAVEPOINT `, `IS380-CH7`],</v>
      </c>
    </row>
    <row r="381" spans="1:4" ht="30" hidden="1">
      <c r="A381" s="3" t="s">
        <v>659</v>
      </c>
      <c r="B381" s="5" t="s">
        <v>680</v>
      </c>
      <c r="C381" s="3" t="s">
        <v>654</v>
      </c>
      <c r="D381" s="3" t="str">
        <f t="shared" si="9"/>
        <v>[`DCL`,``,``,``,``, ``,`&lt;p class='space'&gt;Data Control Language (DCL) - GRANT, REVOKE -&lt;p class='space'&gt;used to control access to database objects. `, `IS380-CH7`],</v>
      </c>
    </row>
    <row r="382" spans="1:4" hidden="1">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c r="A383" s="3" t="s">
        <v>661</v>
      </c>
      <c r="B383" s="3" t="s">
        <v>682</v>
      </c>
      <c r="C383" s="3" t="s">
        <v>654</v>
      </c>
      <c r="D383" s="3" t="str">
        <f t="shared" si="9"/>
        <v>[`Three fundament types of data`,``,``,``,``, ``,`&lt;p class='space'&gt;character data, &lt;p class='space'&gt;numeric data,&lt;p class='space'&gt;date data.`, `IS380-CH7`],</v>
      </c>
    </row>
    <row r="384" spans="1:4" ht="75" hidden="1">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c r="A385" s="3" t="s">
        <v>663</v>
      </c>
      <c r="B385" s="5" t="s">
        <v>684</v>
      </c>
      <c r="C385" s="3" t="s">
        <v>654</v>
      </c>
      <c r="D385" s="3" t="str">
        <f t="shared" si="9"/>
        <v>[`A computed column`,``,``,``,``, ``,`&lt;p class='space'&gt;A computed column (also called a calculated column) represents a derived attribute,  `, `IS380-CH7`],</v>
      </c>
    </row>
    <row r="386" spans="1:4" hidden="1">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c r="A388" s="3" t="s">
        <v>665</v>
      </c>
      <c r="B388" s="10" t="s">
        <v>687</v>
      </c>
      <c r="C388" s="3" t="s">
        <v>654</v>
      </c>
      <c r="D388" s="3" t="str">
        <f t="shared" si="9"/>
        <v>[`cross join`,``,``,``,``, ``,`&lt;p class='space'&gt;cross join performs a relational product (also known as the Cartesian product) of two tables`, `IS380-CH7`],</v>
      </c>
    </row>
    <row r="389" spans="1:4" ht="30" hidden="1">
      <c r="A389" s="3" t="s">
        <v>666</v>
      </c>
      <c r="B389" s="5" t="s">
        <v>688</v>
      </c>
      <c r="C389" s="3" t="s">
        <v>874</v>
      </c>
      <c r="D389" s="3" t="str">
        <f t="shared" si="9"/>
        <v>[`recursive query `,``,``,``,``, ``,`&lt;p class='space'&gt;recursive query&lt;p class='space'&gt;A query that joins a table to itself. `, `IS380-CH07`],</v>
      </c>
    </row>
    <row r="390" spans="1:4" ht="45" hidden="1">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c r="A391" s="3" t="s">
        <v>668</v>
      </c>
      <c r="B391" s="3" t="s">
        <v>690</v>
      </c>
      <c r="C391" s="3" t="s">
        <v>654</v>
      </c>
      <c r="D391" s="3" t="str">
        <f t="shared" si="9"/>
        <v>[`boolean algebra`,``,``,``,``, ``,`&lt;p class='space'&gt;boolean algebra&lt;p class='space'&gt;is dedicated to the use of logical operators`, `IS380-CH7`]</v>
      </c>
    </row>
    <row r="392" spans="1:4" hidden="1">
      <c r="A392" t="s">
        <v>850</v>
      </c>
      <c r="B392" t="s">
        <v>851</v>
      </c>
    </row>
    <row r="393" spans="1:4" hidden="1">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c r="A397" s="3" t="s">
        <v>674</v>
      </c>
      <c r="B397" s="5" t="s">
        <v>695</v>
      </c>
      <c r="C397" s="3" t="s">
        <v>654</v>
      </c>
      <c r="D397" s="3" t="str">
        <f t="shared" si="10"/>
        <v>[`correlated subquery`,``,``,``,``, ``,`&lt;p class='space'&gt;correlated subquery A subquery that executes once for each row in the outer query.`, `IS380-CH7`],</v>
      </c>
    </row>
    <row r="398" spans="1:4" hidden="1">
      <c r="A398" s="3" t="s">
        <v>675</v>
      </c>
      <c r="B398" s="3" t="s">
        <v>696</v>
      </c>
      <c r="C398" s="3" t="s">
        <v>654</v>
      </c>
      <c r="D398" s="3" t="str">
        <f t="shared" si="10"/>
        <v>[`EXISTS`,``,``,``,``, ``,`&lt;p class='space'&gt;EXISTS In SQL, a comparison operator that checks whether a subquery returns any rows`, `IS380-CH7`],</v>
      </c>
    </row>
    <row r="399" spans="1:4" hidden="1">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D35"/>
  <sheetViews>
    <sheetView workbookViewId="0">
      <selection activeCell="D1" sqref="D1:D3"/>
    </sheetView>
  </sheetViews>
  <sheetFormatPr defaultRowHeight="15"/>
  <cols>
    <col min="2" max="2" width="46.7109375" bestFit="1" customWidth="1"/>
    <col min="3" max="3" width="43.140625" bestFit="1" customWidth="1"/>
  </cols>
  <sheetData>
    <row r="1" spans="1:4" ht="30">
      <c r="A1">
        <v>1</v>
      </c>
      <c r="B1" s="12" t="s">
        <v>1057</v>
      </c>
      <c r="C1" t="str">
        <f>RIGHT(B1,LEN(B1)-1)</f>
        <v>.Pressure for conformity (groupthink)</v>
      </c>
      <c r="D1" t="str">
        <f>"\n("&amp;A1&amp;") "&amp;C1</f>
        <v>\n(1) .Pressure for conformity (groupthink)</v>
      </c>
    </row>
    <row r="2" spans="1:4" ht="30">
      <c r="A2">
        <v>2</v>
      </c>
      <c r="B2" s="12" t="s">
        <v>1058</v>
      </c>
      <c r="C2" t="str">
        <f t="shared" ref="C2:C7" si="0">RIGHT(B2,LEN(B2)-1)</f>
        <v>.Domination by forceful members</v>
      </c>
      <c r="D2" t="str">
        <f t="shared" ref="D2:D7" si="1">"\n("&amp;A2&amp;") "&amp;C2</f>
        <v>\n(2) .Domination by forceful members</v>
      </c>
    </row>
    <row r="3" spans="1:4" ht="30">
      <c r="A3">
        <v>3</v>
      </c>
      <c r="B3" s="14" t="s">
        <v>1059</v>
      </c>
      <c r="C3" t="str">
        <f t="shared" si="0"/>
        <v>ime and organization requirements</v>
      </c>
      <c r="D3" t="str">
        <f t="shared" si="1"/>
        <v>\n(3) ime and organization requirements</v>
      </c>
    </row>
    <row r="4" spans="1:4" ht="34.5">
      <c r="A4">
        <v>4</v>
      </c>
      <c r="B4" s="13" t="s">
        <v>1056</v>
      </c>
      <c r="C4" t="str">
        <f t="shared" si="0"/>
        <v>isadvantages of group decision making:</v>
      </c>
      <c r="D4" t="str">
        <f t="shared" si="1"/>
        <v>\n(4) isadvantages of group decision making:</v>
      </c>
    </row>
    <row r="5" spans="1:4" ht="30">
      <c r="A5">
        <v>5</v>
      </c>
      <c r="B5" s="12" t="s">
        <v>1057</v>
      </c>
      <c r="C5" t="str">
        <f t="shared" si="0"/>
        <v>.Pressure for conformity (groupthink)</v>
      </c>
      <c r="D5" t="str">
        <f t="shared" si="1"/>
        <v>\n(5) .Pressure for conformity (groupthink)</v>
      </c>
    </row>
    <row r="6" spans="1:4" ht="30">
      <c r="A6">
        <v>6</v>
      </c>
      <c r="B6" s="12" t="s">
        <v>1058</v>
      </c>
      <c r="C6" t="str">
        <f t="shared" si="0"/>
        <v>.Domination by forceful members</v>
      </c>
      <c r="D6" t="str">
        <f t="shared" si="1"/>
        <v>\n(6) .Domination by forceful members</v>
      </c>
    </row>
    <row r="7" spans="1:4" ht="30">
      <c r="A7">
        <v>7</v>
      </c>
      <c r="B7" s="14" t="s">
        <v>1059</v>
      </c>
      <c r="C7" t="str">
        <f t="shared" si="0"/>
        <v>ime and organization requirements</v>
      </c>
      <c r="D7" t="str">
        <f t="shared" si="1"/>
        <v>\n(7) ime and organization requirements</v>
      </c>
    </row>
    <row r="8" spans="1:4">
      <c r="A8">
        <v>8</v>
      </c>
    </row>
    <row r="9" spans="1:4">
      <c r="A9">
        <v>9</v>
      </c>
    </row>
    <row r="10" spans="1:4">
      <c r="A10">
        <v>10</v>
      </c>
    </row>
    <row r="11" spans="1:4">
      <c r="A11">
        <v>11</v>
      </c>
    </row>
    <row r="12" spans="1:4">
      <c r="A12">
        <v>12</v>
      </c>
    </row>
    <row r="13" spans="1:4">
      <c r="A13">
        <v>13</v>
      </c>
    </row>
    <row r="14" spans="1:4">
      <c r="A14">
        <v>14</v>
      </c>
    </row>
    <row r="20" spans="1:1">
      <c r="A20" t="s">
        <v>1030</v>
      </c>
    </row>
    <row r="21" spans="1:1">
      <c r="A21" t="s">
        <v>1031</v>
      </c>
    </row>
    <row r="22" spans="1:1">
      <c r="A22" t="s">
        <v>1032</v>
      </c>
    </row>
    <row r="23" spans="1:1">
      <c r="A23" t="s">
        <v>1033</v>
      </c>
    </row>
    <row r="24" spans="1:1">
      <c r="A24" t="s">
        <v>1043</v>
      </c>
    </row>
    <row r="26" spans="1:1">
      <c r="A26" t="s">
        <v>1044</v>
      </c>
    </row>
    <row r="27" spans="1:1">
      <c r="A27" t="s">
        <v>1045</v>
      </c>
    </row>
    <row r="28" spans="1:1">
      <c r="A28" t="s">
        <v>1046</v>
      </c>
    </row>
    <row r="30" spans="1:1">
      <c r="A30" t="s">
        <v>1047</v>
      </c>
    </row>
    <row r="32" spans="1:1">
      <c r="A32" t="s">
        <v>1048</v>
      </c>
    </row>
    <row r="33" spans="1:1">
      <c r="A33" t="s">
        <v>1049</v>
      </c>
    </row>
    <row r="35" spans="1:1">
      <c r="A35" t="s">
        <v>1050</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cols>
    <col min="1" max="1" width="14.140625" customWidth="1"/>
    <col min="2" max="2" width="15.28515625" customWidth="1"/>
    <col min="3" max="3" width="20.28515625" bestFit="1" customWidth="1"/>
    <col min="4" max="4" width="48.140625" customWidth="1"/>
  </cols>
  <sheetData>
    <row r="1" spans="1:4">
      <c r="A1" t="s">
        <v>0</v>
      </c>
      <c r="B1" t="s">
        <v>2</v>
      </c>
      <c r="C1" t="s">
        <v>3</v>
      </c>
      <c r="D1" t="s">
        <v>6</v>
      </c>
    </row>
    <row r="2" spans="1:4">
      <c r="A2" t="s">
        <v>20</v>
      </c>
      <c r="B2" t="s">
        <v>21</v>
      </c>
      <c r="C2" t="s">
        <v>22</v>
      </c>
      <c r="D2" t="s">
        <v>23</v>
      </c>
    </row>
    <row r="3" spans="1:4">
      <c r="C3" t="s">
        <v>24</v>
      </c>
      <c r="D3" t="s">
        <v>25</v>
      </c>
    </row>
    <row r="4" spans="1:4">
      <c r="D4" t="s">
        <v>26</v>
      </c>
    </row>
    <row r="5" spans="1:4">
      <c r="C5" t="s">
        <v>27</v>
      </c>
      <c r="D5" t="s">
        <v>28</v>
      </c>
    </row>
    <row r="6" spans="1:4">
      <c r="C6" t="s">
        <v>29</v>
      </c>
      <c r="D6" t="s">
        <v>30</v>
      </c>
    </row>
    <row r="7" spans="1:4">
      <c r="D7" t="s">
        <v>31</v>
      </c>
    </row>
    <row r="8" spans="1:4">
      <c r="D8" t="s">
        <v>32</v>
      </c>
    </row>
    <row r="9" spans="1:4">
      <c r="D9" t="s">
        <v>33</v>
      </c>
    </row>
    <row r="10" spans="1:4">
      <c r="D10" t="s">
        <v>34</v>
      </c>
    </row>
    <row r="11" spans="1:4">
      <c r="D11" t="s">
        <v>35</v>
      </c>
    </row>
    <row r="12" spans="1:4">
      <c r="D12" t="s">
        <v>37</v>
      </c>
    </row>
    <row r="13" spans="1:4">
      <c r="D13" t="s">
        <v>36</v>
      </c>
    </row>
    <row r="14" spans="1:4">
      <c r="C14" t="s">
        <v>38</v>
      </c>
      <c r="D14" t="s">
        <v>39</v>
      </c>
    </row>
    <row r="15" spans="1:4">
      <c r="C15" t="s">
        <v>40</v>
      </c>
      <c r="D15" t="s">
        <v>41</v>
      </c>
    </row>
    <row r="16" spans="1:4">
      <c r="D16" t="s">
        <v>42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cols>
    <col min="1" max="1" width="62.7109375" style="3" customWidth="1"/>
    <col min="2" max="2" width="83" style="3" customWidth="1"/>
    <col min="3" max="3" width="16.5703125" style="3" customWidth="1"/>
    <col min="4" max="16384" width="9.140625" style="3"/>
  </cols>
  <sheetData>
    <row r="1" spans="1:4">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c r="A6" s="3" t="s">
        <v>50</v>
      </c>
      <c r="B6" s="3" t="s">
        <v>651</v>
      </c>
      <c r="C6" s="3" t="s">
        <v>71</v>
      </c>
      <c r="D6" s="3" t="str">
        <f t="shared" si="0"/>
        <v>[`4. What are some disadvantages of using a Database System?`,``,``,``,``, ``,`&lt;p class='space'&gt;Cost, need to hire technical staff to design, manage, and operate the DBMS system.`, `IS380`],</v>
      </c>
    </row>
    <row r="7" spans="1:4" ht="180">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c r="A12" s="1" t="s">
        <v>61</v>
      </c>
      <c r="B12" s="7" t="s">
        <v>60</v>
      </c>
      <c r="C12" s="3" t="s">
        <v>71</v>
      </c>
      <c r="D12" s="3" t="str">
        <f t="shared" si="0"/>
        <v>[`Field`,``,``,``,``, ``,`a. Field - A character or group of characters (alphabetic or numeric) that has a specific meaning. A field is used to define and store data`, `IS380`],</v>
      </c>
    </row>
    <row r="13" spans="1:4">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c r="A14" s="3" t="s">
        <v>64</v>
      </c>
      <c r="B14" s="3" t="s">
        <v>63</v>
      </c>
      <c r="C14" s="3" t="s">
        <v>71</v>
      </c>
      <c r="D14" s="3" t="str">
        <f t="shared" si="0"/>
        <v>[`file`,``,``,``,``, ``,`c. File - A collection of related records. For example, a file might contain data about the students currently enrolled at gigantic University.`, `IS380`],</v>
      </c>
    </row>
    <row r="15" spans="1:4" ht="60">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c r="A16" s="9" t="s">
        <v>69</v>
      </c>
      <c r="B16" s="3" t="s">
        <v>70</v>
      </c>
      <c r="C16" s="3" t="s">
        <v>71</v>
      </c>
      <c r="D16" s="3" t="str">
        <f t="shared" si="0"/>
        <v>[`To be considered a Minimally Relational Database, which relational operators must the database support? `,``,``,``,``, ``,`Select, Join, project, union, intersect, difference, product `, `IS380`],</v>
      </c>
    </row>
    <row r="17" spans="1:4">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c r="A30" s="3" t="s">
        <v>658</v>
      </c>
      <c r="B30" s="5" t="s">
        <v>679</v>
      </c>
      <c r="C30" s="3" t="s">
        <v>654</v>
      </c>
      <c r="D30" s="3" t="str">
        <f t="shared" si="0"/>
        <v>[`TCL`,``,``,``,``, ``,`&lt;p class='space'&gt;Transaction Control Language (TCL) - COMMIT, ROLLBACK, SAVEPOINT `, `IS380-CH7`],</v>
      </c>
    </row>
    <row r="31" spans="1:4" ht="30">
      <c r="A31" s="3" t="s">
        <v>659</v>
      </c>
      <c r="B31" s="5" t="s">
        <v>680</v>
      </c>
      <c r="C31" s="3" t="s">
        <v>654</v>
      </c>
      <c r="D31" s="3" t="str">
        <f t="shared" si="0"/>
        <v>[`DCL`,``,``,``,``, ``,`&lt;p class='space'&gt;Data Control Language (DCL) - GRANT, REVOKE -&lt;p class='space'&gt;used to control access to database objects. `, `IS380-CH7`],</v>
      </c>
    </row>
    <row r="32" spans="1:4">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c r="A33" s="3" t="s">
        <v>661</v>
      </c>
      <c r="B33" s="3" t="s">
        <v>682</v>
      </c>
      <c r="C33" s="3" t="s">
        <v>654</v>
      </c>
      <c r="D33" s="3" t="str">
        <f t="shared" si="0"/>
        <v>[`Three fundament types of data`,``,``,``,``, ``,`&lt;p class='space'&gt;character data, &lt;p class='space'&gt;numeric data,&lt;p class='space'&gt;date data.`, `IS380-CH7`],</v>
      </c>
    </row>
    <row r="34" spans="1:4" ht="60">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c r="A35" s="3" t="s">
        <v>663</v>
      </c>
      <c r="B35" s="5" t="s">
        <v>684</v>
      </c>
      <c r="C35" s="3" t="s">
        <v>654</v>
      </c>
      <c r="D35" s="3" t="str">
        <f t="shared" si="0"/>
        <v>[`A computed column`,``,``,``,``, ``,`&lt;p class='space'&gt;A computed column (also called a calculated column) represents a derived attribute,  `, `IS380-CH7`],</v>
      </c>
    </row>
    <row r="36" spans="1:4">
      <c r="A36" s="3" t="s">
        <v>664</v>
      </c>
      <c r="B36" s="3" t="s">
        <v>685</v>
      </c>
      <c r="C36" s="3" t="s">
        <v>654</v>
      </c>
      <c r="D36" s="3" t="str">
        <f t="shared" si="0"/>
        <v>[`natural join`,``,``,``,``, ``,`&lt;p class='space'&gt;natural join returns all rows with matching values in the matching columns and eliminates duplicate columns.`, `IS380-CH7`],</v>
      </c>
    </row>
    <row r="37" spans="1:4" ht="10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c r="A38" s="3" t="s">
        <v>665</v>
      </c>
      <c r="B38" s="10" t="s">
        <v>687</v>
      </c>
      <c r="C38" s="3" t="s">
        <v>654</v>
      </c>
      <c r="D38" s="3" t="str">
        <f t="shared" si="0"/>
        <v>[`cross join`,``,``,``,``, ``,`&lt;p class='space'&gt;cross join performs a relational product (also known as the Cartesian product) of two tables`, `IS380-CH7`],</v>
      </c>
    </row>
    <row r="39" spans="1:4">
      <c r="A39" s="3" t="s">
        <v>666</v>
      </c>
      <c r="B39" s="5" t="s">
        <v>688</v>
      </c>
      <c r="C39" s="3" t="s">
        <v>654</v>
      </c>
      <c r="D39" s="3" t="str">
        <f t="shared" si="0"/>
        <v>[`recursive query `,``,``,``,``, ``,`&lt;p class='space'&gt;recursive query&lt;p class='space'&gt;A query that joins a table to itself. `, `IS380-CH7`],</v>
      </c>
    </row>
    <row r="40" spans="1:4" ht="30">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c r="A41" s="3" t="s">
        <v>668</v>
      </c>
      <c r="B41" s="3" t="s">
        <v>690</v>
      </c>
      <c r="C41" s="3" t="s">
        <v>654</v>
      </c>
      <c r="D41" s="3" t="str">
        <f t="shared" si="0"/>
        <v>[`boolean algebra`,``,``,``,``, ``,`&lt;p class='space'&gt;boolean algebra&lt;p class='space'&gt;is dedicated to the use of logical operators`, `IS380-CH7`],</v>
      </c>
    </row>
    <row r="42" spans="1:4">
      <c r="A42" s="3" t="s">
        <v>670</v>
      </c>
      <c r="B42" s="3" t="s">
        <v>691</v>
      </c>
      <c r="C42" s="3" t="s">
        <v>654</v>
      </c>
      <c r="D42" s="3" t="str">
        <f t="shared" si="0"/>
        <v>[`The number of join conditions `,``,``,``,``, ``,`&lt;p class='space'&gt;is always equal to the number of tables being joined minus one.`, `IS380-CH7`],</v>
      </c>
    </row>
    <row r="43" spans="1:4">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c r="A46" s="3" t="s">
        <v>674</v>
      </c>
      <c r="B46" s="5" t="s">
        <v>695</v>
      </c>
      <c r="C46" s="3" t="s">
        <v>654</v>
      </c>
      <c r="D46" s="3" t="str">
        <f t="shared" si="0"/>
        <v>[`correlated subquery`,``,``,``,``, ``,`&lt;p class='space'&gt;correlated subquery A subquery that executes once for each row in the outer query.`, `IS380-CH7`],</v>
      </c>
    </row>
    <row r="47" spans="1:4">
      <c r="A47" s="3" t="s">
        <v>675</v>
      </c>
      <c r="B47" s="3" t="s">
        <v>696</v>
      </c>
      <c r="C47" s="3" t="s">
        <v>654</v>
      </c>
      <c r="D47" s="3" t="str">
        <f t="shared" si="0"/>
        <v>[`EXISTS`,``,``,``,``, ``,`&lt;p class='space'&gt;EXISTS In SQL, a comparison operator that checks whether a subquery returns any rows`, `IS380-CH7`],</v>
      </c>
    </row>
    <row r="48" spans="1:4" ht="18.75" customHeight="1"/>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MANAGING DIFFICULT PEOPLE</vt:lpstr>
      <vt:lpstr>The etiquete edge</vt:lpstr>
      <vt:lpstr>HRM360</vt:lpstr>
      <vt:lpstr>Sheet2</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2019-10-27T18:13:08Z</dcterms:modified>
</cp:coreProperties>
</file>
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D:\X_drive\joe\school\_IS445_internet_app_dev\programming\is445_project\"/>
    </mc:Choice>
  </mc:AlternateContent>
  <xr:revisionPtr revIDLastSave="0" documentId="13_ncr:1_{2BEFF755-B1CA-4E8A-A4D0-90951B84CC24}" xr6:coauthVersionLast="36" xr6:coauthVersionMax="36" xr10:uidLastSave="{00000000-0000-0000-0000-000000000000}"/>
  <bookViews>
    <workbookView xWindow="6285" yWindow="1860" windowWidth="22455" windowHeight="13740" activeTab="2" xr2:uid="{2855249E-0602-4E02-A8D3-CE48BAAAFCE3}"/>
  </bookViews>
  <sheets>
    <sheet name="MANAGING DIFFICULT PEOPLE" sheetId="1" r:id="rId1"/>
    <sheet name="The etiquete edge" sheetId="2" r:id="rId2"/>
    <sheet name="HRM360" sheetId="5" r:id="rId3"/>
    <sheet name="Sheet2" sheetId="8" r:id="rId4"/>
    <sheet name="Fall-2019" sheetId="7" r:id="rId5"/>
    <sheet name="Sheet1" sheetId="6" r:id="rId6"/>
    <sheet name="IS445" sheetId="3" r:id="rId7"/>
    <sheet name="is380" sheetId="4" r:id="rId8"/>
  </sheets>
  <definedNames>
    <definedName name="_xlnm._FilterDatabase" localSheetId="4" hidden="1">'Fall-2019'!$A$1:$D$401</definedName>
    <definedName name="_xlnm._FilterDatabase" localSheetId="2" hidden="1">'HRM360'!$A$1:$D$290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90" i="5" l="1"/>
  <c r="D289" i="5"/>
  <c r="D288" i="5"/>
  <c r="D287" i="5"/>
  <c r="D286" i="5"/>
  <c r="D285" i="5"/>
  <c r="D284" i="5"/>
  <c r="D283" i="5"/>
  <c r="D224" i="5"/>
  <c r="D223" i="5"/>
  <c r="D275" i="5"/>
  <c r="D276" i="5"/>
  <c r="D277" i="5"/>
  <c r="D278" i="5"/>
  <c r="D279" i="5"/>
  <c r="D280" i="5"/>
  <c r="D281" i="5"/>
  <c r="D282" i="5"/>
  <c r="D264" i="5" l="1"/>
  <c r="D274" i="5"/>
  <c r="D263" i="5"/>
  <c r="D265" i="5"/>
  <c r="D266" i="5"/>
  <c r="D267" i="5"/>
  <c r="D268" i="5"/>
  <c r="D269" i="5"/>
  <c r="D270" i="5"/>
  <c r="D271" i="5"/>
  <c r="D272" i="5"/>
  <c r="D273" i="5"/>
  <c r="C2" i="6"/>
  <c r="D2" i="6" s="1"/>
  <c r="C3" i="6"/>
  <c r="D3" i="6" s="1"/>
  <c r="C4" i="6"/>
  <c r="C5" i="6"/>
  <c r="D5" i="6" s="1"/>
  <c r="C6" i="6"/>
  <c r="D6" i="6" s="1"/>
  <c r="C7" i="6"/>
  <c r="D7" i="6" s="1"/>
  <c r="C1" i="6"/>
  <c r="D1" i="6" s="1"/>
  <c r="D4" i="6"/>
  <c r="D251" i="5" l="1"/>
  <c r="D252" i="5"/>
  <c r="D253" i="5"/>
  <c r="D254" i="5"/>
  <c r="D255" i="5"/>
  <c r="D256" i="5"/>
  <c r="D257" i="5"/>
  <c r="D258" i="5"/>
  <c r="D259" i="5"/>
  <c r="D260" i="5"/>
  <c r="D261" i="5"/>
  <c r="D262" i="5"/>
  <c r="D250" i="5"/>
  <c r="D249" i="5"/>
  <c r="D247" i="5"/>
  <c r="D248" i="5"/>
  <c r="D244" i="5"/>
  <c r="D245" i="5"/>
  <c r="D246" i="5"/>
  <c r="D243" i="5" l="1"/>
  <c r="D242" i="5"/>
  <c r="D241" i="5"/>
  <c r="D240" i="5"/>
  <c r="D239" i="5"/>
  <c r="D238" i="5"/>
  <c r="D237" i="5"/>
  <c r="D236" i="5"/>
  <c r="D235" i="5"/>
  <c r="D234" i="5"/>
  <c r="D233" i="5"/>
  <c r="D232" i="5"/>
  <c r="D231" i="5"/>
  <c r="D230" i="5"/>
  <c r="D229" i="5"/>
  <c r="D228" i="5"/>
  <c r="D227" i="5"/>
  <c r="D226" i="5"/>
  <c r="D222" i="5"/>
  <c r="D225" i="5"/>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D195" i="5"/>
  <c r="D194" i="5"/>
  <c r="D193" i="5"/>
  <c r="D192" i="5"/>
  <c r="D191" i="5"/>
  <c r="D400" i="7" l="1"/>
  <c r="D401" i="7"/>
  <c r="D399" i="7"/>
  <c r="D281" i="7"/>
  <c r="D280" i="7"/>
  <c r="D279" i="7"/>
  <c r="D278" i="7"/>
  <c r="D277" i="7"/>
  <c r="D338" i="7"/>
  <c r="D398" i="7"/>
  <c r="D397" i="7"/>
  <c r="D396" i="7"/>
  <c r="D395" i="7"/>
  <c r="D394" i="7"/>
  <c r="D393" i="7"/>
  <c r="D391" i="7"/>
  <c r="D390" i="7"/>
  <c r="D389" i="7"/>
  <c r="D388" i="7"/>
  <c r="D387" i="7"/>
  <c r="D386" i="7"/>
  <c r="D385" i="7"/>
  <c r="D384" i="7"/>
  <c r="D383" i="7"/>
  <c r="D382" i="7"/>
  <c r="D381" i="7"/>
  <c r="D380" i="7"/>
  <c r="D379" i="7"/>
  <c r="D378" i="7"/>
  <c r="D377" i="7"/>
  <c r="D376" i="7"/>
  <c r="D375" i="7"/>
  <c r="D374" i="7"/>
  <c r="D373" i="7"/>
  <c r="D372" i="7"/>
  <c r="D371" i="7"/>
  <c r="D370" i="7"/>
  <c r="D369" i="7"/>
  <c r="D368" i="7"/>
  <c r="D367" i="7"/>
  <c r="D366" i="7"/>
  <c r="D365" i="7"/>
  <c r="D364" i="7"/>
  <c r="D363" i="7"/>
  <c r="D362" i="7"/>
  <c r="D361" i="7"/>
  <c r="D360" i="7"/>
  <c r="D359" i="7"/>
  <c r="D358" i="7"/>
  <c r="D357" i="7"/>
  <c r="D356" i="7"/>
  <c r="D355" i="7"/>
  <c r="D354" i="7"/>
  <c r="D353" i="7"/>
  <c r="D352" i="7"/>
  <c r="D351" i="7"/>
  <c r="D350" i="7"/>
  <c r="D349" i="7"/>
  <c r="D348" i="7"/>
  <c r="D347" i="7"/>
  <c r="D346" i="7"/>
  <c r="D345" i="7"/>
  <c r="D344" i="7"/>
  <c r="D343" i="7"/>
  <c r="D342" i="7"/>
  <c r="D341" i="7"/>
  <c r="D340" i="7"/>
  <c r="D339" i="7"/>
  <c r="D337" i="7"/>
  <c r="D336" i="7"/>
  <c r="D335" i="7"/>
  <c r="D334" i="7"/>
  <c r="D323" i="7"/>
  <c r="D322" i="7"/>
  <c r="D321" i="7"/>
  <c r="D302" i="7"/>
  <c r="D301" i="7"/>
  <c r="D300" i="7"/>
  <c r="D299" i="7"/>
  <c r="D298" i="7"/>
  <c r="D297" i="7"/>
  <c r="D296" i="7"/>
  <c r="D295" i="7"/>
  <c r="D294" i="7"/>
  <c r="D293" i="7"/>
  <c r="D292" i="7"/>
  <c r="D291" i="7"/>
  <c r="D290" i="7"/>
  <c r="D289" i="7"/>
  <c r="D288" i="7"/>
  <c r="D287" i="7"/>
  <c r="D286" i="7"/>
  <c r="D285" i="7"/>
  <c r="D284" i="7"/>
  <c r="D283" i="7"/>
  <c r="D282" i="7"/>
  <c r="D276" i="7"/>
  <c r="D275" i="7"/>
  <c r="D274" i="7"/>
  <c r="D273" i="7"/>
  <c r="D272" i="7"/>
  <c r="D271" i="7"/>
  <c r="D270" i="7"/>
  <c r="D269" i="7"/>
  <c r="D268" i="7"/>
  <c r="D267" i="7"/>
  <c r="D266" i="7"/>
  <c r="D265" i="7"/>
  <c r="D264" i="7"/>
  <c r="D263" i="7"/>
  <c r="D262" i="7"/>
  <c r="D261" i="7"/>
  <c r="D260" i="7"/>
  <c r="D259" i="7"/>
  <c r="D258" i="7"/>
  <c r="D257" i="7"/>
  <c r="D256" i="7"/>
  <c r="D255" i="7"/>
  <c r="D254" i="7"/>
  <c r="D253" i="7"/>
  <c r="D252" i="7"/>
  <c r="D251" i="7"/>
  <c r="D250" i="7"/>
  <c r="D249" i="7"/>
  <c r="D248" i="7"/>
  <c r="D247" i="7"/>
  <c r="D246" i="7"/>
  <c r="D245" i="7"/>
  <c r="D244" i="7"/>
  <c r="D243" i="7"/>
  <c r="D242" i="7"/>
  <c r="D241" i="7"/>
  <c r="D240" i="7"/>
  <c r="D239" i="7"/>
  <c r="D238" i="7"/>
  <c r="D237" i="7"/>
  <c r="D236" i="7"/>
  <c r="D235" i="7"/>
  <c r="D234" i="7"/>
  <c r="D233" i="7"/>
  <c r="D232" i="7"/>
  <c r="D231" i="7"/>
  <c r="D230" i="7"/>
  <c r="D229" i="7"/>
  <c r="D228" i="7"/>
  <c r="D227" i="7"/>
  <c r="D226" i="7"/>
  <c r="D225" i="7"/>
  <c r="D224" i="7"/>
  <c r="D223" i="7"/>
  <c r="D222" i="7"/>
  <c r="D221" i="7"/>
  <c r="D220" i="7"/>
  <c r="D219" i="7"/>
  <c r="D218" i="7"/>
  <c r="D217" i="7"/>
  <c r="D216" i="7"/>
  <c r="D215" i="7"/>
  <c r="D214" i="7"/>
  <c r="D213" i="7"/>
  <c r="D212" i="7"/>
  <c r="D211" i="7"/>
  <c r="D210" i="7"/>
  <c r="D209" i="7"/>
  <c r="D208" i="7"/>
  <c r="D207" i="7"/>
  <c r="D206" i="7"/>
  <c r="D205" i="7"/>
  <c r="D204" i="7"/>
  <c r="D203" i="7"/>
  <c r="D202" i="7"/>
  <c r="D201" i="7"/>
  <c r="D200" i="7"/>
  <c r="D318" i="7" l="1"/>
  <c r="D319" i="7"/>
  <c r="D320" i="7"/>
  <c r="D317" i="7"/>
  <c r="D316" i="7"/>
  <c r="D309" i="7"/>
  <c r="D310" i="7"/>
  <c r="D311" i="7"/>
  <c r="D312" i="7"/>
  <c r="D313" i="7"/>
  <c r="D314" i="7"/>
  <c r="D315" i="7"/>
  <c r="D308" i="7"/>
  <c r="D304" i="7"/>
  <c r="D305" i="7"/>
  <c r="D306" i="7"/>
  <c r="D307" i="7"/>
  <c r="D303" i="7"/>
  <c r="D47" i="4" l="1"/>
  <c r="D34" i="4"/>
  <c r="D35" i="4"/>
  <c r="D36" i="4"/>
  <c r="D37" i="4"/>
  <c r="D38" i="4"/>
  <c r="D39" i="4"/>
  <c r="D40" i="4"/>
  <c r="D41" i="4"/>
  <c r="D42" i="4"/>
  <c r="D43" i="4"/>
  <c r="D44" i="4"/>
  <c r="D45" i="4"/>
  <c r="D46" i="4"/>
  <c r="D33" i="4"/>
  <c r="D32" i="4"/>
  <c r="D31" i="4"/>
  <c r="D30" i="4"/>
  <c r="D29" i="4"/>
  <c r="D28" i="4"/>
  <c r="D27" i="4"/>
  <c r="D199" i="7" l="1"/>
  <c r="D198" i="7"/>
  <c r="D197" i="7"/>
  <c r="D196" i="7"/>
  <c r="D195" i="7" l="1"/>
  <c r="D194" i="7"/>
  <c r="D193" i="7"/>
  <c r="D192" i="7"/>
  <c r="D191" i="7"/>
  <c r="D190" i="7"/>
  <c r="D189" i="7"/>
  <c r="D188" i="7"/>
  <c r="D187" i="7"/>
  <c r="D186" i="7"/>
  <c r="D185" i="7"/>
  <c r="D184" i="7"/>
  <c r="D183" i="7"/>
  <c r="D182" i="7"/>
  <c r="D181" i="7"/>
  <c r="D180" i="7"/>
  <c r="D179" i="7"/>
  <c r="D178" i="7"/>
  <c r="D177" i="7"/>
  <c r="D176" i="7"/>
  <c r="D175" i="7"/>
  <c r="D174" i="7"/>
  <c r="D173" i="7"/>
  <c r="D172" i="7"/>
  <c r="D171" i="7"/>
  <c r="D170" i="7"/>
  <c r="D169" i="7"/>
  <c r="D168" i="7"/>
  <c r="D167" i="7"/>
  <c r="D166" i="7"/>
  <c r="D165" i="7"/>
  <c r="D164" i="7"/>
  <c r="D163" i="7"/>
  <c r="D162" i="7"/>
  <c r="D161" i="7"/>
  <c r="D160" i="7"/>
  <c r="D159" i="7"/>
  <c r="D158" i="7"/>
  <c r="D157" i="7"/>
  <c r="D156" i="7"/>
  <c r="D155" i="7"/>
  <c r="D154" i="7"/>
  <c r="D153" i="7"/>
  <c r="D152" i="7"/>
  <c r="D151" i="7"/>
  <c r="D150" i="7"/>
  <c r="D149" i="7"/>
  <c r="D148"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8" i="7"/>
  <c r="D117" i="7"/>
  <c r="D116" i="7"/>
  <c r="D115" i="7"/>
  <c r="D114" i="7"/>
  <c r="D113" i="7"/>
  <c r="D112" i="7"/>
  <c r="D111" i="7"/>
  <c r="D110" i="7"/>
  <c r="D109" i="7"/>
  <c r="D108" i="7"/>
  <c r="D107" i="7"/>
  <c r="D106" i="7"/>
  <c r="D105" i="7"/>
  <c r="D104" i="7"/>
  <c r="D103" i="7"/>
  <c r="D102" i="7"/>
  <c r="D101" i="7"/>
  <c r="D100" i="7"/>
  <c r="D99" i="7"/>
  <c r="D98" i="7"/>
  <c r="D97" i="7"/>
  <c r="D96" i="7"/>
  <c r="D95" i="7"/>
  <c r="D94" i="7"/>
  <c r="D93" i="7"/>
  <c r="D92" i="7"/>
  <c r="D91" i="7"/>
  <c r="D90" i="7"/>
  <c r="D89" i="7"/>
  <c r="D88" i="7"/>
  <c r="D87" i="7"/>
  <c r="D86" i="7"/>
  <c r="D85" i="7"/>
  <c r="D84" i="7"/>
  <c r="D83" i="7"/>
  <c r="D82" i="7"/>
  <c r="D81" i="7"/>
  <c r="D80" i="7"/>
  <c r="D79" i="7"/>
  <c r="D78" i="7"/>
  <c r="D77" i="7"/>
  <c r="D76" i="7"/>
  <c r="D75" i="7"/>
  <c r="D74" i="7"/>
  <c r="D73" i="7"/>
  <c r="D72" i="7"/>
  <c r="D71" i="7"/>
  <c r="D70" i="7"/>
  <c r="D69" i="7"/>
  <c r="D68" i="7"/>
  <c r="D67" i="7"/>
  <c r="D66" i="7"/>
  <c r="D65" i="7"/>
  <c r="D64" i="7"/>
  <c r="D63" i="7"/>
  <c r="D62" i="7"/>
  <c r="D61"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9" i="7"/>
  <c r="D28" i="7"/>
  <c r="D27" i="7"/>
  <c r="D26" i="7"/>
  <c r="D25" i="7"/>
  <c r="D24" i="7"/>
  <c r="D23" i="7"/>
  <c r="D22" i="7"/>
  <c r="D21" i="7"/>
  <c r="D20" i="7"/>
  <c r="D19" i="7"/>
  <c r="D18" i="7"/>
  <c r="D17" i="7"/>
  <c r="D16" i="7"/>
  <c r="D15" i="7"/>
  <c r="D14" i="7"/>
  <c r="D13" i="7"/>
  <c r="D12" i="7"/>
  <c r="D11" i="7"/>
  <c r="D10" i="7"/>
  <c r="D9" i="7"/>
  <c r="D8" i="7"/>
  <c r="D7" i="7"/>
  <c r="D6" i="7"/>
  <c r="D5" i="7"/>
  <c r="D4" i="7"/>
  <c r="D3" i="7"/>
  <c r="D2" i="7"/>
  <c r="D190" i="5" l="1"/>
  <c r="D189" i="5" l="1"/>
  <c r="D188" i="5"/>
  <c r="D187" i="5"/>
  <c r="D186" i="5"/>
  <c r="D185" i="5"/>
  <c r="D184" i="5"/>
  <c r="D183" i="5"/>
  <c r="D182" i="5"/>
  <c r="D181" i="5"/>
  <c r="D180" i="5"/>
  <c r="D179" i="5"/>
  <c r="D178" i="5"/>
  <c r="D177" i="5"/>
  <c r="D176" i="5"/>
  <c r="D175" i="5"/>
  <c r="D151" i="5"/>
  <c r="D22" i="5"/>
  <c r="D21" i="5"/>
  <c r="D20" i="5"/>
  <c r="D19" i="5"/>
  <c r="D18" i="5"/>
  <c r="D17" i="5"/>
  <c r="D16" i="5"/>
  <c r="D15" i="5"/>
  <c r="D14" i="5"/>
  <c r="D13" i="5"/>
  <c r="D12" i="5"/>
  <c r="D11" i="5"/>
  <c r="D10" i="5"/>
  <c r="D9" i="5"/>
  <c r="D8" i="5"/>
  <c r="D7" i="5"/>
  <c r="D6" i="5"/>
  <c r="D5" i="5"/>
  <c r="D4" i="5"/>
  <c r="D3" i="5"/>
  <c r="D2"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74" i="5"/>
  <c r="D173" i="5"/>
  <c r="D172" i="5"/>
  <c r="D171" i="5"/>
  <c r="D170" i="5"/>
  <c r="D169" i="5"/>
  <c r="D168" i="5"/>
  <c r="D167" i="5"/>
  <c r="D166" i="5"/>
  <c r="D165" i="5"/>
  <c r="D164" i="5"/>
  <c r="D163" i="5"/>
  <c r="D162" i="5"/>
  <c r="D161" i="5"/>
  <c r="D160" i="5"/>
  <c r="D159" i="5"/>
  <c r="D158" i="5"/>
  <c r="D157" i="5"/>
  <c r="D156" i="5"/>
  <c r="D155" i="5"/>
  <c r="D154" i="5"/>
  <c r="D153" i="5"/>
  <c r="D152" i="5" l="1"/>
  <c r="D18" i="4" l="1"/>
  <c r="D19" i="4"/>
  <c r="D20" i="4"/>
  <c r="D21" i="4"/>
  <c r="D22" i="4"/>
  <c r="D23" i="4"/>
  <c r="D24" i="4"/>
  <c r="D25" i="4"/>
  <c r="D26" i="4"/>
  <c r="D17" i="4" l="1"/>
  <c r="D2" i="4" l="1"/>
  <c r="D3" i="4"/>
  <c r="D4" i="4"/>
  <c r="D5" i="4"/>
  <c r="D6" i="4"/>
  <c r="D7" i="4"/>
  <c r="D8" i="4"/>
  <c r="D9" i="4"/>
  <c r="D10" i="4"/>
  <c r="D11" i="4"/>
  <c r="D12" i="4"/>
  <c r="D13" i="4"/>
  <c r="D14" i="4"/>
  <c r="D15" i="4"/>
  <c r="D16" i="4"/>
  <c r="D1" i="4"/>
</calcChain>
</file>

<file path=xl/sharedStrings.xml><?xml version="1.0" encoding="utf-8"?>
<sst xmlns="http://schemas.openxmlformats.org/spreadsheetml/2006/main" count="2257" uniqueCount="1096">
  <si>
    <t>category</t>
  </si>
  <si>
    <t>book</t>
  </si>
  <si>
    <t>class</t>
  </si>
  <si>
    <t>term</t>
  </si>
  <si>
    <t>MANAGING DIFFICULT PEOPLE</t>
  </si>
  <si>
    <t>work</t>
  </si>
  <si>
    <t>info</t>
  </si>
  <si>
    <t xml:space="preserve">When a difficult person confronts a manager, often, the manager unknowingly becomes defensive. </t>
  </si>
  <si>
    <t>Now back up for a moment, to the point when the angry employee shouts, “Executives in this company don't care about people, they only care about money!” Things wouldn't spiral out of control if, instead of getting defensive, you as the manager say in a moderate tone of voice, “Jim, let's step into my office. We'll sit down together and you can tell me what makes you think so.</t>
  </si>
  <si>
    <t xml:space="preserve">NEGATIVE EMPLOYEES AFFECT everyone around them with their “downer” attitudes. </t>
  </si>
  <si>
    <t>SETTING REALISTIC EXPECTATIONS -  Beware of making promises to yourself that you can't keep — you'll undermine your performance</t>
  </si>
  <si>
    <t xml:space="preserve">If you map out a plan for dealing with Jones and don't count on overnight miracles, you're on solid ground. </t>
  </si>
  <si>
    <t xml:space="preserve">A MANAGER'S ATTITUDE INFLUENCES OUTCOME -  Sustain a positive outlook. - Be known as a fair person. -  Keep an eye on morale. -  Set an example. -  Take responsibility for your actions. -  Maintain your sense of humor. -  Acknowledge good work through praise.  -  Give credit for ideas. </t>
  </si>
  <si>
    <t xml:space="preserve">Beyond the basic guidelines listed above, a good manager must possess other positive qualities: • Understanding: - Good communication skills: -  Strong listening skills: - </t>
  </si>
  <si>
    <t xml:space="preserve"> Strong listening skills: When was the last time you really listened to someone when he was talking to you? Did you give him your full, undivided attention, or was your mind thinking about five other different things? And when you are listening, do you really know what it is people are trying to tell you? (You might have to ask probing questions in order to get the message.)</t>
  </si>
  <si>
    <t>• Good communication skills: Keep your communication skills in good working order. You might want to join speaking organizations to learn how to be a better public speaker. But don't stop there. You communicate when you send a memo, write e-mail, and lead a meeting. There's no such thing as being a “perfect” communicator. An excellent manager will view the pursuit of this art as a work in progress</t>
  </si>
  <si>
    <t>Honesty: Be honest and ethical in all of your business dealings — period</t>
  </si>
  <si>
    <t xml:space="preserve"> A desire to encourage: Encouragement is different than praise. Encouragement helps someone who hasn't yet achieved the goal. Employees need your input and encouragement from time to time in order to be successful, so be prepared to fill that role. </t>
  </si>
  <si>
    <t>The etiquete edge</t>
  </si>
  <si>
    <t>Remember that you can’t unsay what you reveal.</t>
  </si>
  <si>
    <t>programming</t>
  </si>
  <si>
    <t>IS445</t>
  </si>
  <si>
    <t>git</t>
  </si>
  <si>
    <t>can create ssh keys</t>
  </si>
  <si>
    <t>ssh</t>
  </si>
  <si>
    <t>3 fundamentals of network security-confidentiality - integrity - authentication</t>
  </si>
  <si>
    <t>public and and private key encryption</t>
  </si>
  <si>
    <t>AMI</t>
  </si>
  <si>
    <t>Amazon machine instance - ?</t>
  </si>
  <si>
    <t>git commands</t>
  </si>
  <si>
    <t>git init // initilizes local git repository</t>
  </si>
  <si>
    <t>git add . // adds all files in a diectory and subfolders</t>
  </si>
  <si>
    <t>git add &lt;filename. // add the file</t>
  </si>
  <si>
    <t>git commit // commits the changes to the branch</t>
  </si>
  <si>
    <t>git rm --cached &lt;filename&gt; //removes file from updating</t>
  </si>
  <si>
    <t>git lst-files // list files managed by git</t>
  </si>
  <si>
    <t>git pull // pulls files from the remote repository</t>
  </si>
  <si>
    <t xml:space="preserve">git push // adds files to master from local repository </t>
  </si>
  <si>
    <t>Emmet abbreviations</t>
  </si>
  <si>
    <t>Emmet (formerly Zen Coding) is a set of plug-ins for text editors that allow for high-speed coding and editing in HTML, XML, XSL, and other structured code formats via content assist. The project was started by Vadim Makeev in 2008 and continues to be actively developed by Sergey Chikuyonok and Emmet users.</t>
  </si>
  <si>
    <t>git references</t>
  </si>
  <si>
    <t>https://www.atlassian.com/de/git/tutorials/syncing/git-push</t>
  </si>
  <si>
    <t>https://www.dataschool.io/git-quick-reference-for-beginners/</t>
  </si>
  <si>
    <t>2. What is a database?</t>
  </si>
  <si>
    <t>1. What is the difference between Data and Information?</t>
  </si>
  <si>
    <t xml:space="preserve">A shared, integrated computer structure that houses a collection of related data. A database contains two types of data: end-user data (raw facts) and metadata. </t>
  </si>
  <si>
    <t xml:space="preserve">  What is metadata?</t>
  </si>
  <si>
    <t>Data about data; that is, data about data characteristics and relationships.</t>
  </si>
  <si>
    <t xml:space="preserve">3. What is a DBMS?  </t>
  </si>
  <si>
    <t>a. What are some advantages of a DBMS (why would you use one)?</t>
  </si>
  <si>
    <t>4. What are some disadvantages of using a Database System?</t>
  </si>
  <si>
    <t>Cost, need to hire technical staff to design, manage, and operate the DBMS system.</t>
  </si>
  <si>
    <t>Understand the different types of databases discussed in the text:</t>
  </si>
  <si>
    <t>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t>
  </si>
  <si>
    <t>NOSQL DB</t>
  </si>
  <si>
    <t xml:space="preserve">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</si>
  <si>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Transactional (production) database (OLTP)</t>
  </si>
  <si>
    <r>
      <t>Data warehouse database (OLAP)</t>
    </r>
    <r>
      <rPr>
        <i/>
        <sz val="11"/>
        <color theme="1"/>
        <rFont val="Calibri"/>
        <family val="2"/>
        <scheme val="minor"/>
      </rPr>
      <t xml:space="preserve"> </t>
    </r>
  </si>
  <si>
    <t>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t>
  </si>
  <si>
    <t>f. Degree of data structure</t>
  </si>
  <si>
    <t>a. Field - A character or group of characters (alphabetic or numeric) that has a specific meaning. A field is used to define and store data</t>
  </si>
  <si>
    <t>Field</t>
  </si>
  <si>
    <t>b. Record - A logically connected set of one or more fields that describes a person, place, or thing. For example, the fields that constitute a record for a customer might consist of the customer's name, address, phone number, date of birth, credit limit, and unpaid balance.</t>
  </si>
  <si>
    <t>c. File - A collection of related records. For example, a file might contain data about the students currently enrolled at gigantic University.</t>
  </si>
  <si>
    <t>file</t>
  </si>
  <si>
    <t>Record</t>
  </si>
  <si>
    <t xml:space="preserve">8. What are some problems with using manual file systems for data processing? </t>
  </si>
  <si>
    <t>What is Organizational behavior?</t>
  </si>
  <si>
    <t>Common Sense</t>
  </si>
  <si>
    <t xml:space="preserve">To be considered a Minimally Relational Database, which relational operators must the database support? </t>
  </si>
  <si>
    <t xml:space="preserve">Select, Join, project, union, intersect, difference, product </t>
  </si>
  <si>
    <t>IS380</t>
  </si>
  <si>
    <t>A database management system (DBMS) is a collection of programs that manages, the database structure and controls access to the data stored in the database.</t>
  </si>
  <si>
    <t>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</si>
  <si>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</si>
  <si>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Extrinsic motivation</t>
  </si>
  <si>
    <t>HRM360-ch5</t>
  </si>
  <si>
    <t>Item</t>
  </si>
  <si>
    <t>topic</t>
  </si>
  <si>
    <t xml:space="preserve">Intrinsic motivation </t>
  </si>
  <si>
    <t>two general categories of motivation theories:</t>
  </si>
  <si>
    <t>Content Theories of Motivation</t>
  </si>
  <si>
    <t>Content theories include:</t>
  </si>
  <si>
    <t>McGregor’s Theory X and Theory Y.</t>
  </si>
  <si>
    <t>Maslow’s Need Hierarchy Theory:</t>
  </si>
  <si>
    <t>Maslow's need - Physiological</t>
  </si>
  <si>
    <t>Maslow's need - Safety</t>
  </si>
  <si>
    <t>Maslow's need - love</t>
  </si>
  <si>
    <t>Maslow's need - Esteem</t>
  </si>
  <si>
    <t>McClelland identified a positive and negative form of the power need.</t>
  </si>
  <si>
    <t>Need for achievement</t>
  </si>
  <si>
    <t>Need for affiliation.</t>
  </si>
  <si>
    <t>Need for power.</t>
  </si>
  <si>
    <t>The Three Innate Needs, An innate need is a need we are born with. The three innate needs are:</t>
  </si>
  <si>
    <t>Herzberg’s Motivator-Hygiene Theory: Two Ways to Improve Satisfaction,</t>
  </si>
  <si>
    <t>Hygiene factors</t>
  </si>
  <si>
    <t xml:space="preserve">Motivating factors </t>
  </si>
  <si>
    <t>Do Herzberg factors interact?</t>
  </si>
  <si>
    <t>extended entity relationship (EER) model</t>
  </si>
  <si>
    <t>The EER model builds on entity relationship (ER) concepts and adds support for entity supertypes, subtypes, and entity clustering, enhanced entity relationship model, is the result of adding more semantic constructs to the original ER model</t>
  </si>
  <si>
    <t>Entity Supertypes and Subtypes</t>
  </si>
  <si>
    <t>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t>
  </si>
  <si>
    <t>inheritance</t>
  </si>
  <si>
    <t xml:space="preserve">inheritance enables an entity subtype to inherit the attributes and relationships of the supertype, Entity subtypes inherit all relationships in which the supertype entity participates. </t>
  </si>
  <si>
    <t>Subtype Discriminator</t>
  </si>
  <si>
    <t xml:space="preserve">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</si>
  <si>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Completeness Constraint</t>
  </si>
  <si>
    <t xml:space="preserve">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</si>
  <si>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Specialization and Generalization</t>
  </si>
  <si>
    <t>Specialization is the top-down process of identifying lower-level, more specific entity subtypes from a higher-level entity supertype. Generalization is the bottom-up process of identifying a higher-level, more generic entity supertype from lower-level entity subtypes.</t>
  </si>
  <si>
    <t>Entity Clustering</t>
  </si>
  <si>
    <t xml:space="preserve">use entity clusters to minimize the number of entities shown in the ERD, entity cluster is a “virtual” entity type used to represent multiple entities and relationships in the ERD. When using entity clusters, the key attributes of the combined entities are no longer available. </t>
  </si>
  <si>
    <t>primary key</t>
  </si>
  <si>
    <t xml:space="preserve">natural key or natural identifier is a real-world, generally accepted identifier used to distinguish, that is, uniquely identify, real-world objects. </t>
  </si>
  <si>
    <t>natural key or natural identifier</t>
  </si>
  <si>
    <t xml:space="preserve"> (a single attribute or some combination of attributes), which uniquely identifies each entity instance. function of the primary key is to guarantee entity integrity, not to “describe” the entity</t>
  </si>
  <si>
    <t>Surrogate Primary Keys</t>
  </si>
  <si>
    <t>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t>
  </si>
  <si>
    <t>HRM360-ch1</t>
  </si>
  <si>
    <t>object</t>
  </si>
  <si>
    <t>The importance of technical skill verses personal skills changes over one's career. How? PP ch1 slide 6</t>
  </si>
  <si>
    <t>What is the problem solving approach? PP ch1 slide 7.</t>
  </si>
  <si>
    <t>There are two overall factors that interact to influence human behavior in organizations</t>
  </si>
  <si>
    <t>Due to the fundamental nature of human beings, two sides of the organization arise:</t>
  </si>
  <si>
    <t>Hawthorne Effect - lecture notes</t>
  </si>
  <si>
    <t>contingency approach- Text page 5</t>
  </si>
  <si>
    <t>The Stanford Graduate School of Business asked the members of its Advisory Council which skills are most important for their MBA students</t>
  </si>
  <si>
    <t xml:space="preserve">Two Sides of Organizations - Formal organization   </t>
  </si>
  <si>
    <t xml:space="preserve">Two Sides of Organizations - Informal organization   </t>
  </si>
  <si>
    <t>information</t>
  </si>
  <si>
    <t>Three major weaknesses of common sense</t>
  </si>
  <si>
    <t>HRM360-ch2</t>
  </si>
  <si>
    <t>What are some hard and soft skills?</t>
  </si>
  <si>
    <t>Ethics guides</t>
  </si>
  <si>
    <t>Why am I disengaged?</t>
  </si>
  <si>
    <t>Person factors</t>
  </si>
  <si>
    <t>Situation factors</t>
  </si>
  <si>
    <t>People and Situations Are Dynamic (key point)</t>
  </si>
  <si>
    <t>Levels—Individual, Group/Team, and Organization (key point)</t>
  </si>
  <si>
    <t>Applying OB Concepts to Identify the Right Problem (key point)</t>
  </si>
  <si>
    <t>&lt;p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t>
  </si>
  <si>
    <t>&lt;p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t>
  </si>
  <si>
    <t xml:space="preserve">Values </t>
  </si>
  <si>
    <t>Values are shaped by?</t>
  </si>
  <si>
    <t>Many organizations create strong situations</t>
  </si>
  <si>
    <t>When the organization creates situations that supply opportunities for employees to fulfill their values</t>
  </si>
  <si>
    <t>Values - There are three general approaches:</t>
  </si>
  <si>
    <t>What is an attitude?</t>
  </si>
  <si>
    <t>Cognitive dissonance is:</t>
  </si>
  <si>
    <t>Attitude-to-Behavior Linkage</t>
  </si>
  <si>
    <t xml:space="preserve">The Theory of Planned Behavior (TPB) </t>
  </si>
  <si>
    <t>Job satisfaction</t>
  </si>
  <si>
    <t>Job Satisfaction: Causes</t>
  </si>
  <si>
    <t xml:space="preserve">link between job satisfaction and job performance </t>
  </si>
  <si>
    <t>Job Satisfaction: Consequences</t>
  </si>
  <si>
    <t xml:space="preserve">Organizational commitment </t>
  </si>
  <si>
    <t>What are some of the causes of OCB?</t>
  </si>
  <si>
    <t>Attitude Change</t>
  </si>
  <si>
    <t xml:space="preserve">There are three factors that influence the success of persuasion and attitude change: </t>
  </si>
  <si>
    <t>Value examples</t>
  </si>
  <si>
    <t>Values Wheel: Self-Transcendence</t>
  </si>
  <si>
    <t>Values Wheel: Self-Enhancement</t>
  </si>
  <si>
    <t>Value priorities</t>
  </si>
  <si>
    <t>Nature of values (1)</t>
  </si>
  <si>
    <t>Nature of values (2)</t>
  </si>
  <si>
    <t>Nature of values (3)</t>
  </si>
  <si>
    <t>Nature of values (4)</t>
  </si>
  <si>
    <t>Nature of values (5)</t>
  </si>
  <si>
    <t>Nature of values (6)</t>
  </si>
  <si>
    <t>Values Wheel: Openness to Change</t>
  </si>
  <si>
    <t>Values Wheel: Conservation</t>
  </si>
  <si>
    <t>Attitudes are?</t>
  </si>
  <si>
    <t>Job satisfaction strongly correlates with turnover</t>
  </si>
  <si>
    <t>Schwartz's Value theory - bipolar dimensions</t>
  </si>
  <si>
    <t>Attitudes vs values</t>
  </si>
  <si>
    <t>Cognitive dissonance</t>
  </si>
  <si>
    <t>What is the key link between attitudes and planned behavior</t>
  </si>
  <si>
    <t>Savvy managers will track four key workplace attitudes:</t>
  </si>
  <si>
    <t>Organizational Commitment</t>
  </si>
  <si>
    <t>Psychological contracts</t>
  </si>
  <si>
    <t>person–culture fit</t>
  </si>
  <si>
    <t>How Can Managers Increase Employees’ Commitment?</t>
  </si>
  <si>
    <t>What Contributes to Employee Engagement? Two Factors:</t>
  </si>
  <si>
    <t>What Contributes to Employee Engagement? Person factors</t>
  </si>
  <si>
    <t>How Can Managers Increase Engagement?</t>
  </si>
  <si>
    <t>Five Predominant Models of Job Satisfaction</t>
  </si>
  <si>
    <t>OCB  and CWB - what are they?</t>
  </si>
  <si>
    <t>CWB - counter productive work behavior</t>
  </si>
  <si>
    <t>CWB has a strong negative relationship with job satisfaction, so managers should find ways to reduce it.</t>
  </si>
  <si>
    <t xml:space="preserve">What Contributes to Employee Engagement? Situation Factors  </t>
  </si>
  <si>
    <t>&lt;p class='space'&gt;(1) McGregor’s Theory X and Theory Y.&lt;p class='space'&gt;(2) Maslow’s need hierarchy theory.&lt;p class='space'&gt;(3) Acquired needs theory.&lt;p class='space'&gt;(4) Self-determination theory.&lt;p class='space'&gt;(5) Herzberg’s motivator-hygiene theory.</t>
  </si>
  <si>
    <t>&lt;p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t>
  </si>
  <si>
    <t>Maslow's need - Self-Actualization</t>
  </si>
  <si>
    <t>Applied Approaches to Selecting a Solution (key point)</t>
  </si>
  <si>
    <t>Attitude model(A,B,C) can be described in terms of three components.</t>
  </si>
  <si>
    <t>&lt;p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t>
  </si>
  <si>
    <t>&lt;p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t>
  </si>
  <si>
    <t>&lt;p class='space'&gt;the study of individual behavior and group dynamics in organizations</t>
  </si>
  <si>
    <t>&lt;p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t>
  </si>
  <si>
    <t>&lt;p class='space'&gt;results from the potential or actual receipt of external rewards</t>
  </si>
  <si>
    <t>&lt;p class='space'&gt;occurs when an individual is inspired by “the positive internal feelings that are generated by doing well,</t>
  </si>
  <si>
    <t>&lt;p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t>
  </si>
  <si>
    <t>&lt;p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t>
  </si>
  <si>
    <t>&lt;p class='space'&gt;Most basic need - food, air, and water to survive</t>
  </si>
  <si>
    <t>&lt;p class='space'&gt;Safe from physical and psychological harm</t>
  </si>
  <si>
    <t>&lt;p class='space'&gt;Desire for self fulfillment - to become the best one is capable of becoming.</t>
  </si>
  <si>
    <t>&lt;p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t>
  </si>
  <si>
    <t>&lt;p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t>
  </si>
  <si>
    <t xml:space="preserve">&lt;p class='space'&gt;Need for affiliation. People motivated by the need for affiliation like to work in teams and in organizational climates characterized as cooperative and collegial. </t>
  </si>
  <si>
    <t xml:space="preserve">&lt;p class='space'&gt;Need for power. People with a high need for power like to be in charge. They enjoy coaching and helping others develop. </t>
  </si>
  <si>
    <t>&lt;p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t>
  </si>
  <si>
    <t>&lt;p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t>
  </si>
  <si>
    <t>&lt;p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t>
  </si>
  <si>
    <t>&lt;p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t>
  </si>
  <si>
    <t>&lt;p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t>
  </si>
  <si>
    <t>&lt;p class='space'&gt;Initially technical skills are of the greatest importance, but eventually personal skills become more important.</t>
  </si>
  <si>
    <t>&lt;p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t>
  </si>
  <si>
    <t xml:space="preserve">&lt;p class='space'&gt;Person factors: The characteristics that give people their unique identities and sense of self&lt;p class='space'&gt;Situation factors: All the elements outside ourselves that influence what we feel, think, and do  </t>
  </si>
  <si>
    <t xml:space="preserve">&lt;p class='space'&gt;Formal Organization: &lt;p class='space'&gt;The official: legitimate, structured, and most visible part of the system &lt;p class='space'&gt; Informal Organization:&lt;p class='space'&gt; The unofficial: psychological, organic, and less visible part of the system  </t>
  </si>
  <si>
    <t>&lt;p class='space'&gt;Formal organization   (overt) Goals and objectives  Policies and procedures  Job descriptions  Financial resources  Authority structure  Communication channels  Products and services</t>
  </si>
  <si>
    <t>&lt;p class='space'&gt;Informal organization   (human side) (covert) Beliefs and assumptions   Perceptions and attitudes, values, feelings, such as fear, joy  anger, trust, and hope, group norms, informal leaders</t>
  </si>
  <si>
    <t>&lt;p class='space'&gt;The Hawthorne effect (also referred to as the observer effect) is a type of reactivity in which individuals modify an aspect of their behavior in response to their awareness of being observed.</t>
  </si>
  <si>
    <t>&lt;p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t>
  </si>
  <si>
    <t>&lt;p class='space'&gt;self-awareness -  When you know yourself, you are comfortable with your strengths and not crippled by your shortcomings. &lt;p class='space'&gt;Self-awareness gives you the capacity to learn from your mistakes as well as your successes</t>
  </si>
  <si>
    <t>&lt;p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t>
  </si>
  <si>
    <t>&lt;p class='space'&gt;behavior by identifying right, wrong, and the many shades of gray in between.&lt;p class='space'&gt;Unethical Does Not Mean Illegal - very few unethical acts are also illegal, most are not punished in any way, and even if illegal, few are prosecuted.</t>
  </si>
  <si>
    <t>&lt;p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t>
  </si>
  <si>
    <t>&lt;p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t>
  </si>
  <si>
    <t>&lt;p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t>
  </si>
  <si>
    <t>&lt;p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t>
  </si>
  <si>
    <t xml:space="preserve">&lt;p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t>
  </si>
  <si>
    <t xml:space="preserve">&lt;p class='space'&gt;workers fit better and are more satisfied and committed, and exhibit better well-being&lt;p class='space'&gt;Lack of supply-value fit doesn’t affect job performance….. at first </t>
  </si>
  <si>
    <t>&lt;p class='space'&gt;Provide opportunities to fulfill values&lt;p class='space'&gt;Find people’s with matching values&lt;p class='space'&gt;Develop new values in our workers</t>
  </si>
  <si>
    <t xml:space="preserve">&lt;p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t>
  </si>
  <si>
    <t>&lt;p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t>
  </si>
  <si>
    <t xml:space="preserve">&lt;p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t>
  </si>
  <si>
    <t>&lt;p class='space'&gt;Attitudes are formed by one or more of three factors affecting beliefs (cognitive) and feelings (affect) towards an attitude object: &lt;p class='space'&gt;Personality traits&lt;p class='space'&gt;Direct experience&lt;p class='space'&gt;Social learning about the object</t>
  </si>
  <si>
    <t xml:space="preserve">&lt;p class='space'&gt;Job satisfaction is a positive emotional state resulting from one’s appraisal or evaluation of his or her job, and the parts of that job, and has ramifications for many types of employee behavior </t>
  </si>
  <si>
    <t xml:space="preserve">&lt;p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t>
  </si>
  <si>
    <t>&lt;p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t>
  </si>
  <si>
    <t>&lt;p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t>
  </si>
  <si>
    <t xml:space="preserve">&lt;p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t>
  </si>
  <si>
    <t>&lt;p class='space'&gt;Organizational Citizenship Behaviors are prosocial helping behavior that support the psychological and social environment in which task performance occurs&lt;p class='space'&gt;Satisfied and committed individuals are more likely to contribute to their organization</t>
  </si>
  <si>
    <t>&lt;p class='space'&gt;Source: Expertise, trustworthiness, attractiveness&lt;p class='space'&gt;Target: Self-esteem, attitude strength, mood&lt;p class='space'&gt; Message: Acknowledge all sides of attitude object, threat level, emotional tone</t>
  </si>
  <si>
    <t>&lt;p class='space'&gt;Self-transcendence - Self-Enhancement&lt;p class='space'&gt;Openness to Change - Conservation</t>
  </si>
  <si>
    <t>&lt;p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t>
  </si>
  <si>
    <t xml:space="preserve">&lt;p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t>
  </si>
  <si>
    <t>&lt;p class='space'&gt;Self-Direction - Defining goal: independent thought and action--choosing, creating, exploring.&lt;p class='space'&gt;Stimulation - Defining goal: excitement, novelty, and challenge in life.&lt;p class='space'&gt;Hedonism - Defining goal: pleasure or sensuous gratification for oneself.</t>
  </si>
  <si>
    <t>&lt;p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t>
  </si>
  <si>
    <t xml:space="preserve">&lt;p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t>
  </si>
  <si>
    <t>&lt;p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t>
  </si>
  <si>
    <t>&lt;p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t>
  </si>
  <si>
    <t>&lt;p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t>
  </si>
  <si>
    <t>&lt;p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t>
  </si>
  <si>
    <t>&lt;p class='space'&gt;represents the psychological discomfort a person experiences when simultaneously holding two or more conflicting cognitions (ideas, beliefs, values, or emotions) .</t>
  </si>
  <si>
    <t>&lt;p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t>
  </si>
  <si>
    <t xml:space="preserve">&lt;p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t>
  </si>
  <si>
    <t xml:space="preserve">&lt;p class='space'&gt;Person Factors&lt;p class='space'&gt;Situation Factors  </t>
  </si>
  <si>
    <t xml:space="preserve">&lt;p class='space'&gt;Personality.&lt;p class='space'&gt;Positive psychological capital.&lt;p class='space'&gt;Human and social capital. </t>
  </si>
  <si>
    <t>&lt;p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t>
  </si>
  <si>
    <t xml:space="preserve">&lt;p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t>
  </si>
  <si>
    <t>&lt;p class='space'&gt;(1) Need Fulfillment.&lt;p class='space'&gt;(2) Met Expectations.&lt;p class='space'&gt;(3) Value Attainment.&lt;p class='space'&gt;(4) Equity.</t>
  </si>
  <si>
    <t xml:space="preserve">&lt;p class='space'&gt;Need fulfillment models propose that satisfaction is determined by the extent to which the characteristics of a job allow an individual to fulfill her or his needs. Needs are physiological or psychological deficiencies that arouse behavior. </t>
  </si>
  <si>
    <t>&lt;p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t>
  </si>
  <si>
    <t>&lt;p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t>
  </si>
  <si>
    <t>&lt;p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t>
  </si>
  <si>
    <t>Positive vs negative affectivity</t>
  </si>
  <si>
    <t>&lt;p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t>
  </si>
  <si>
    <t>&lt;p class='space'&gt;Positive affectivity refers to positive emotions and expression, including cheerfulness, pride, enthusiasm, energy, and joy.&lt;p class='space'&gt;Negative affectivity is negative emotions and expression, which includes sadness, disgust, lethargy, fear, and distress.</t>
  </si>
  <si>
    <t>Value wheel - what are the four poles? (key info)</t>
  </si>
  <si>
    <t>&lt;p class='space'&gt;Diet values, psychological tendencies, fleeting changes</t>
  </si>
  <si>
    <t>Three components of attitudes (A,B,C)</t>
  </si>
  <si>
    <t xml:space="preserve">&lt;p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t>
  </si>
  <si>
    <t xml:space="preserve">&lt;p class='space'&gt;Intentions are the key link between attitudes and planned behavior, someone’s intention to engage in a given behavior is a strong predictor of that behavior. </t>
  </si>
  <si>
    <t xml:space="preserve">&lt;p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t>
  </si>
  <si>
    <t xml:space="preserve">&lt;p class='space'&gt;If you value achievement and your employer rewards people for accomplishing goals, you are more likely to be committed to the company. This consistency between personal and company values is called person–culture fit </t>
  </si>
  <si>
    <t xml:space="preserve">Employee Engagement </t>
  </si>
  <si>
    <t>(4)Five Predominant Models of Job Satisfaction(1) Need Fulfillment</t>
  </si>
  <si>
    <t>(4)Five Predominant Models of Job Satisfaction (2) Met Expectations</t>
  </si>
  <si>
    <t>(4)Five Predominant Models of Job Satisfaction (3) Value Attainment</t>
  </si>
  <si>
    <t>(4)Five Predominant Models of Job Satisfaction (4) Equity.</t>
  </si>
  <si>
    <t xml:space="preserve">&lt;p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t>
  </si>
  <si>
    <t>&lt;p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t>
  </si>
  <si>
    <t>&lt;p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t>
  </si>
  <si>
    <t>&lt;p class='space'&gt;(2) Values refer to desirable goals that motivate action. &lt;p class='space'&gt;People for whom social order, justice, and helpfulness are important values are motivated to pursue these goals.</t>
  </si>
  <si>
    <t>&lt;p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t>
  </si>
  <si>
    <t>&lt;p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t>
  </si>
  <si>
    <t>&lt;p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t>
  </si>
  <si>
    <t>&lt;p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t>
  </si>
  <si>
    <t>&lt;p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t>
  </si>
  <si>
    <t>&lt;p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t>
  </si>
  <si>
    <t>&lt;p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t>
  </si>
  <si>
    <t>&lt;p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t>
  </si>
  <si>
    <t xml:space="preserve">&lt;p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t>
  </si>
  <si>
    <t>HRM360-ch3</t>
  </si>
  <si>
    <t>Traits</t>
  </si>
  <si>
    <t xml:space="preserve">Facets of you that allow your behaviors to be predicted- in weak situations. </t>
  </si>
  <si>
    <t>Emotions</t>
  </si>
  <si>
    <t>Moods</t>
  </si>
  <si>
    <t>Affect</t>
  </si>
  <si>
    <t>Emotions vs moods</t>
  </si>
  <si>
    <t>Basics of Affect and Emotion</t>
  </si>
  <si>
    <t>Trait affectivity</t>
  </si>
  <si>
    <t>&lt;p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t>
  </si>
  <si>
    <t>&lt;p class='space'&gt;Lower key - slowly shape your thoughts all day.</t>
  </si>
  <si>
    <t xml:space="preserve">&lt;p class='space'&gt;Emotions directly impede or interrupt thought processes in the present moment and often trigger action (or the intent to act), while moods indirectly alter perception and cognition by biasing it in mood-consistent ways </t>
  </si>
  <si>
    <t>&lt;p class='space'&gt;Big five Neuroticism  and extroversion</t>
  </si>
  <si>
    <t>Employee burnout more likely when one has:</t>
  </si>
  <si>
    <t>Least likely to burnout:</t>
  </si>
  <si>
    <t>&lt;p class='space'&gt;High negative affectivity</t>
  </si>
  <si>
    <t>&lt;p class='space'&gt;Low negative affectivity</t>
  </si>
  <si>
    <t>Emotional Intelligence</t>
  </si>
  <si>
    <t>&lt;p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t>
  </si>
  <si>
    <t>Emotional Intelligence - four dimensions</t>
  </si>
  <si>
    <t>&lt;p class='space'&gt;Self-awareness&lt;p class='space'&gt;Self-management&lt;p class='space'&gt;Social awareness&lt;p class='space'&gt;Relationship management</t>
  </si>
  <si>
    <t>Personality - stability - shaped by:</t>
  </si>
  <si>
    <t>&lt;p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t>
  </si>
  <si>
    <t>What has impact on job performance</t>
  </si>
  <si>
    <t xml:space="preserve">&lt;p class='space'&gt;Personality is the relatively stable set of characteristics that influences an individual’s behavior and lend it consistency&lt;p class='space'&gt;Shaped by genetics (up to 50%) and environment (e.g., family, culture, education, etc.) </t>
  </si>
  <si>
    <t>What Are the Big Five Dimensions of Personality?  (Trait Theory)</t>
  </si>
  <si>
    <t>Big five - extroversion</t>
  </si>
  <si>
    <t>Big five - Agreeableness</t>
  </si>
  <si>
    <t>Big five - Openness to experience</t>
  </si>
  <si>
    <t>&lt;p class='space'&gt;desire to be loved and to love - needs for affection and belonging</t>
  </si>
  <si>
    <t>&lt;p class='space'&gt;Need for reputation, prestige, and recognition from others. Included need for self-confidence and strength</t>
  </si>
  <si>
    <t>&lt;p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t>
  </si>
  <si>
    <t>acquired needs theory 3 basic needs to drive employee motivation</t>
  </si>
  <si>
    <t>&lt;p class='space'&gt;a combination of nature (e.g., genetics) and nurture (e.g., upbringing, experiences) , making them unique from each&lt;p class='space'&gt;values are NOT the same as personality</t>
  </si>
  <si>
    <t xml:space="preserve">&lt;p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t>
  </si>
  <si>
    <t xml:space="preserve">&lt;p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t>
  </si>
  <si>
    <t>&lt;p class='space'&gt;Negatively with turnover, the more satisfied someone is with their job the lower the tendency to quit job.</t>
  </si>
  <si>
    <t>&lt;p class='space'&gt;happen suddenly - affect your ability to focus. Dissipate quickly.</t>
  </si>
  <si>
    <t>&lt;p class='space'&gt;Positive affectivity - positively activated&lt;p class='space'&gt;Negative affectivity - negatively activated&lt;p class='space'&gt;Low positive affectivity Eeyore&lt;p class='space'&gt;Low negative affectivity&lt;p class='space'&gt; some people get very excited either positive or negative</t>
  </si>
  <si>
    <t>Affectivity original model</t>
  </si>
  <si>
    <t>Positive/Negative Affectivity align with</t>
  </si>
  <si>
    <t>&lt;p class='space'&gt;Openness&lt;p class='space'&gt;Conscientiousness&lt;p class='space'&gt;Extraversion&lt;p class='space'&gt;Agreeableness&lt;p class='space'&gt;Neuroticism (emotional stability)</t>
  </si>
  <si>
    <t>&lt;p class='space'&gt;Cognitive ability * .44&lt;p class='space'&gt;conscientiousness *.22&lt;p class='space'&gt;emotional stability * .00</t>
  </si>
  <si>
    <t>Big five - Consciousness</t>
  </si>
  <si>
    <t>Locus of Control:</t>
  </si>
  <si>
    <t>CSE - core self-evaluation</t>
  </si>
  <si>
    <t xml:space="preserve">Self-Esteem: </t>
  </si>
  <si>
    <t>Self-Efficacy:</t>
  </si>
  <si>
    <t>Self-Monitoring: -  social chameleon</t>
  </si>
  <si>
    <t xml:space="preserve">&lt;p class='space'&gt;Locus of Control: Belief that the events in one’s life are mostly controlled either by oneself (internal) or by the situation or others (external) </t>
  </si>
  <si>
    <t xml:space="preserve">&lt;p class='space'&gt;A person’s core self-evaluation is the degree to which a person evaluates his/her self (or self-concept) positively&lt;p class='space'&gt; </t>
  </si>
  <si>
    <t xml:space="preserve">&lt;p class='space'&gt;Self-Esteem: Overall feelings of self-worth; high self-esteem is associated with positive feelings and emphasizing strengths over weaknesses </t>
  </si>
  <si>
    <t>&lt;p class='space'&gt;Self-Efficacy: Overall belief of how effectively one can perform, cope, or succeed in various situations</t>
  </si>
  <si>
    <t>&lt;p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t>
  </si>
  <si>
    <t xml:space="preserve">Personality </t>
  </si>
  <si>
    <t>Proactive personality</t>
  </si>
  <si>
    <t>&lt;p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t>
  </si>
  <si>
    <t xml:space="preserve">&lt;p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t>
  </si>
  <si>
    <t xml:space="preserve">&lt;p class='space'&gt;Dependable, responsible, achievement-oriented, persistent&lt;p class='space'&gt;Strong predictor of job performance&lt;p class='space'&gt;Conscientiousness has the strongest (most positive) effects on job performance and training performance. </t>
  </si>
  <si>
    <t>Big five - Emotional Stability</t>
  </si>
  <si>
    <t>“Ideal Employee” Personality</t>
  </si>
  <si>
    <t xml:space="preserve"> Core self-evaluations (CSEs)</t>
  </si>
  <si>
    <t>&lt;p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t>
  </si>
  <si>
    <t>Core self-evaluations -  Self-efficacy</t>
  </si>
  <si>
    <t>Core self-evaluations -  Self-esteem</t>
  </si>
  <si>
    <t>Core self-evaluations - Locus of control</t>
  </si>
  <si>
    <t>Core self-evaluations - Emotional Stability</t>
  </si>
  <si>
    <t xml:space="preserve">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t>
  </si>
  <si>
    <t xml:space="preserve">&lt;p class='space'&gt;Self-esteem is your general belief about your own self-worth. </t>
  </si>
  <si>
    <t xml:space="preserve">&lt;p class='space'&gt;Locus of control is a relatively stable personality characteristic that describes how much personal responsibility we take for our behavior and its consequences. </t>
  </si>
  <si>
    <t>&lt;p class='space'&gt; Individuals with high levels of emotional stability tend to be relaxed, secure, unworried, and less likely to experience negative emotions under pressure.</t>
  </si>
  <si>
    <t xml:space="preserve">&lt;p class='space'&gt;Personality is the combination of stable physical, behavioral, and mental characteristics that gives individuals their unique identities. </t>
  </si>
  <si>
    <t>&lt;p class='space'&gt;Trusting, good-natured, cooperative, softhearted (empathetic)&lt;p class='space'&gt;Agreeable employees are more likely to stay with their jobs (not quit). They tend to be kind and get along with others, and thus they often have positive relationships and experiences at work.</t>
  </si>
  <si>
    <t>&lt;p class='space'&gt;Relaxed, secure, unworried&lt;p class='space'&gt;Low negative Affectivity&lt;p class='space'&gt;Emotional stability, along with conscientiousness and agreeableness, is associated with a greater focus on and practice of workplace safety.</t>
  </si>
  <si>
    <t>&lt;p class='space'&gt;Intellectual, imaginative, curious, broad-minded&lt;p class='space'&gt;Openness seems to lead to higher turnover. Open employees are curious and likely to seek out new opportunities, even when they are satisfied with their current jobs.</t>
  </si>
  <si>
    <t>&lt;p class='space'&gt;There Is No “Ideal Employee” Personality</t>
  </si>
  <si>
    <t>HRM360-ch4</t>
  </si>
  <si>
    <t>Two tendencies specific to emotions:</t>
  </si>
  <si>
    <t>High positive affectivity vs low is characterized by:</t>
  </si>
  <si>
    <t>High negative affectivity vs low is characterized by:</t>
  </si>
  <si>
    <t>&lt;p class='space'&gt;positive affectivity and negative affectivity&lt;p class='space'&gt;these are fundamental differences between people</t>
  </si>
  <si>
    <t>&lt;p class='space'&gt;High Negative affectivity - rage irritable&lt;p class='space'&gt;low negative affectivity - serene calm</t>
  </si>
  <si>
    <t>Which Big 5 factors predict the following? Performance in social interactions?</t>
  </si>
  <si>
    <t>Which Big 5 factors predict the following? Occupational Success?</t>
  </si>
  <si>
    <t xml:space="preserve">Which Big 5 factors predict the following? Performance? </t>
  </si>
  <si>
    <t>&lt;p class='space'&gt;consciousness</t>
  </si>
  <si>
    <t>&lt;p class='space'&gt;consciousness  - agreeableness</t>
  </si>
  <si>
    <t>&lt;p class='space'&gt;extroversion</t>
  </si>
  <si>
    <t>&lt;p class='space'&gt;openness</t>
  </si>
  <si>
    <t>&lt;p class='space'&gt;agreeableness</t>
  </si>
  <si>
    <t>&lt;p class='space'&gt;low emotional stability</t>
  </si>
  <si>
    <t>&lt;p class='space'&gt;extroversion - agreeableness</t>
  </si>
  <si>
    <t xml:space="preserve">Determining attitudes vs values which is easier </t>
  </si>
  <si>
    <t xml:space="preserve">Social Perception - Three things influence our perceptions: </t>
  </si>
  <si>
    <t>&lt;p class='space'&gt;Attitudes are much easier to see</t>
  </si>
  <si>
    <t>&lt;p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t>
  </si>
  <si>
    <t>Which Big 5 factors predict the following? Performance in customer service?</t>
  </si>
  <si>
    <t>Which Big 5 factors predict the following? Team Performance?</t>
  </si>
  <si>
    <t>Which Big 5 factors predict the following? Emotional Support?</t>
  </si>
  <si>
    <t>&lt;p class='space'&gt; emotional stability - agreeableness</t>
  </si>
  <si>
    <t>Which Big 5 factors predict the following? Creativity or Innovation?</t>
  </si>
  <si>
    <t>Which Big 5 factors predict the following? Helping Behavior?</t>
  </si>
  <si>
    <t>Which Big 5 factors predict the following? Burnout?</t>
  </si>
  <si>
    <t>Which Big 5 factors predict the following? Transformational Leadership?</t>
  </si>
  <si>
    <t>Stereotypes and exemplars</t>
  </si>
  <si>
    <t>The fundamental attribution bias</t>
  </si>
  <si>
    <t>Self-serving Bias</t>
  </si>
  <si>
    <t>Kelley’s Model of Attribution</t>
  </si>
  <si>
    <t xml:space="preserve">&lt;p class='space'&gt;The fundamental attribution bias reflects our tendency to attribute another person’s behavior to his or her personal characteristics, rather than to situation factors. </t>
  </si>
  <si>
    <t>&lt;p class='space'&gt; behavior can be attributed either to internal factors within a person (such as ability) or to external factors within the environment (such as a difficult task).&lt;p class='space'&gt;consensus - (People)&lt;p class='space'&gt;Distinctiveness - (Tasks)&lt;p class='space'&gt;Consistency - (Time)</t>
  </si>
  <si>
    <t>&lt;p class='space'&gt;Stereotypes are categories a bunch of people are in - personality, age, race, gender, marital status,  seniority, work location&lt;p class='space'&gt;Assuming someone who is like the person we are dealing with is the same as the person we know</t>
  </si>
  <si>
    <t>Is stereotyping discrimination?</t>
  </si>
  <si>
    <t>Meta-Analysis</t>
  </si>
  <si>
    <t xml:space="preserve">&lt;p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t>
  </si>
  <si>
    <t>&lt;p class='space'&gt;Meta-analysis is the statistical procedure for combining data from multiple studies. &lt;p class='space'&gt;When the treatment effect (or effect size) is consistent from one study to the next, meta-analysis can be used to identify this common effect.</t>
  </si>
  <si>
    <t>Three Social Perception: Barriers</t>
  </si>
  <si>
    <t xml:space="preserve">Impression management is behaving in ways to generate a positive image in the eyes of others, there are two general types: </t>
  </si>
  <si>
    <t xml:space="preserve">&lt;p class='space'&gt;Attribution&lt;p class='space'&gt;When observing ours or others behavior, we “attribute” certain causes to that behavior; these attributions help us discern the drivers of their actions and deduce underlying characteristics&lt;p class='space'&gt; </t>
  </si>
  <si>
    <t xml:space="preserve">&lt;p class='space'&gt;Internal causes within a person’s control (e.g., personality, ability, values, effort, etc.)&lt;p class='space'&gt;External causes outside of a person’s control (e.g., task difficulty, luck, situation, etc.) </t>
  </si>
  <si>
    <t>Attribution: Biases</t>
  </si>
  <si>
    <t xml:space="preserve">&lt;p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t>
  </si>
  <si>
    <t xml:space="preserve">&lt;p class='space'&gt;Someone may be masking who they are&lt;p class='space'&gt;Other-enhancing: Ingratiation (flattery, favor doing, compliments, conformity)&lt;p class='space'&gt;Self-enhancing: Exemplify desired values/ideals, Self-promote accomplishment/qualities </t>
  </si>
  <si>
    <t>&lt;p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t>
  </si>
  <si>
    <t>Attribution - why someone did something</t>
  </si>
  <si>
    <t>We attribute behavior to two types of causes:</t>
  </si>
  <si>
    <t>&lt;p class='space'&gt;Fundamental attribution error (a.k.a., the correspondence bias):</t>
  </si>
  <si>
    <t>Fundamental attribution error also:</t>
  </si>
  <si>
    <t>Diversity Management</t>
  </si>
  <si>
    <t>Difference between self serving bias and attribution bias</t>
  </si>
  <si>
    <t>&lt;p class='space'&gt;self serving bias, why I failed&lt;p class='space'&gt;attribution bias, why someone else failed</t>
  </si>
  <si>
    <t xml:space="preserve">Inner locus of control </t>
  </si>
  <si>
    <t>&lt;p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t>
  </si>
  <si>
    <t>Here are seven initiatives that can help organizations to motivate and retain an aging workforce:</t>
  </si>
  <si>
    <t>Perception</t>
  </si>
  <si>
    <t>&lt;p class='space'&gt;Perception is a cognitive process that enables us to interpret and understand our surroundings.&lt;p class='space'&gt;Perception is important to OB because behavior is based on our perception of reality, not on reality itself</t>
  </si>
  <si>
    <t>&lt;p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t>
  </si>
  <si>
    <t>The following behaviors are representative of effective leadership:</t>
  </si>
  <si>
    <t>&lt;p class='space'&gt;One's tendency to take credit for success and deny blame for failure</t>
  </si>
  <si>
    <t>Diversity</t>
  </si>
  <si>
    <t>** Eight options for managing diversity **</t>
  </si>
  <si>
    <t xml:space="preserve"> Causal Attributions</t>
  </si>
  <si>
    <t xml:space="preserve">&lt;p class='space'&gt;Causal attributions are suspected or inferred causes of behavior. </t>
  </si>
  <si>
    <t>&lt;p class='space'&gt;Diversity pertains to the host of individual differences that make each of us unique and different from all others.</t>
  </si>
  <si>
    <t>&lt;p class='space'&gt;High positive affectivity - excited-interested and active&lt;p class='space'&gt;Low positive affectivity - lack of positive emotions - depressed grouchy lethargic</t>
  </si>
  <si>
    <t>How can one's emotional intelligence be altered.</t>
  </si>
  <si>
    <t>&lt;p class='space'&gt;EQ (emotional intelligence can be altered by putting one into situations that require the application of EQ. Repeated practice so to speak.</t>
  </si>
  <si>
    <t>&lt;p class='space'&gt;Individuals like this are more likely to accept responsivities for positives and negatives that happen to them.</t>
  </si>
  <si>
    <t xml:space="preserve">&lt;p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t>
  </si>
  <si>
    <t>*Expectancy theory</t>
  </si>
  <si>
    <t>Job design,</t>
  </si>
  <si>
    <t>&lt;p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t>
  </si>
  <si>
    <t>&lt;p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t>
  </si>
  <si>
    <t>Output intrinsic vs extrinsic motivation</t>
  </si>
  <si>
    <t>*Motivation three facets</t>
  </si>
  <si>
    <t>Acquired Need Tendencies</t>
  </si>
  <si>
    <t>David McClelland, Acquired Needs Theory (ANT-AAP)</t>
  </si>
  <si>
    <t>SDT - CAR</t>
  </si>
  <si>
    <t xml:space="preserve">&lt;p class='space'&gt;Self-determination theory finds that people are more intrinsically motivated to do things that help them meet three fundamental human needs:&lt;p class='space'&gt;(1) autonomy&lt;p class='space'&gt;(2) competence&lt;p class='space'&gt;(3)relatedness </t>
  </si>
  <si>
    <t>Fundamental Needs SDT</t>
  </si>
  <si>
    <t>Engagement</t>
  </si>
  <si>
    <t xml:space="preserve">&lt;p class='space'&gt;(1) Intensity: How much effort will an employee exert towards a particular goal in his/her job?&lt;p class='space'&gt;(2) Direction: Which goals, or aspects of the goals, will an employee exert effort towards?&lt;p class='space'&gt;(3) Persistence: How long will an employee exert effort? </t>
  </si>
  <si>
    <t xml:space="preserve">&lt;p class='space'&gt;Studies find intrinsic motivation leads to higher quality work, and extrinsic to higher quantity </t>
  </si>
  <si>
    <t xml:space="preserve">&lt;p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t>
  </si>
  <si>
    <t>&lt;p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t>
  </si>
  <si>
    <t xml:space="preserve">&lt;p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t>
  </si>
  <si>
    <t>Motivation and equity theory</t>
  </si>
  <si>
    <t>Process Theories: Expectancy</t>
  </si>
  <si>
    <t>&lt;p class='space'&gt;Equity theory, people are motivated based on their perceptions of the fairness of those exchanges</t>
  </si>
  <si>
    <t xml:space="preserve">&lt;p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t>
  </si>
  <si>
    <t>Three key components of expectancy theory (interaction principle, if one is zero, no motivation)</t>
  </si>
  <si>
    <t xml:space="preserve">&lt;p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t>
  </si>
  <si>
    <t>Job Design</t>
  </si>
  <si>
    <t>&lt;p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t>
  </si>
  <si>
    <t xml:space="preserve">&lt;p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t>
  </si>
  <si>
    <t xml:space="preserve">Job enlargement - Job rotation - Job enrichment </t>
  </si>
  <si>
    <t>&lt;p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t>
  </si>
  <si>
    <t xml:space="preserve">&lt;p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t>
  </si>
  <si>
    <t>Job Design - recent work</t>
  </si>
  <si>
    <t>What is performance management?</t>
  </si>
  <si>
    <t>HRM360-ch6</t>
  </si>
  <si>
    <t>Four step of performance management:</t>
  </si>
  <si>
    <t>&lt;p class='space'&gt;Performance management (PM) is a set of processes and managerial behaviors that include defining, monitoring, measuring, evaluating, and providing consequences for performance expectations.</t>
  </si>
  <si>
    <t>&lt;p class='space'&gt;Step 1: Defining performance.  &lt;p class='space'&gt;Step 2: Monitoring and evaluating performance.  &lt;p class='space'&gt;Step 3: Reviewing performance.  &lt;p class='space'&gt;Step 4: Providing consequences.</t>
  </si>
  <si>
    <t>Three issues with performance management:</t>
  </si>
  <si>
    <t xml:space="preserve">Generally, people tend to perceive and recall positive feedback more accurately than they do negative feedback. But negative feedback </t>
  </si>
  <si>
    <t xml:space="preserve"> is a customized process between two or more people with the intent of enhancing learning and motivating change</t>
  </si>
  <si>
    <t>Tuckman’s Five-Stage Model of Group Development</t>
  </si>
  <si>
    <t>forming, storming, norming, performing, adjourning</t>
  </si>
  <si>
    <t>HRM360-ch8</t>
  </si>
  <si>
    <t>Need to be updated</t>
  </si>
  <si>
    <t>Flex box - set items into evenly spread row</t>
  </si>
  <si>
    <t>Where is the best refernce site for HTML-CSS rules/docs?</t>
  </si>
  <si>
    <t>MDN web docs - https://developer.mozilla.org/en-US/docs/Web</t>
  </si>
  <si>
    <t>git start brach at current spot</t>
  </si>
  <si>
    <t>&lt;p class='space'&gt;First, performance management practices are often obsolete.&lt;p class='space'&gt;Second, PM is time consuming.&lt;p class='space'&gt;Third, performance reviews are too narrow.</t>
  </si>
  <si>
    <t>&lt;p class='space'&gt;Coaching</t>
  </si>
  <si>
    <t>Parent&lt;p class='space'&gt;display: flex;&lt;p class='space'&gt;justify-content: space-around;</t>
  </si>
  <si>
    <t>IS445-git</t>
  </si>
  <si>
    <t>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t>
  </si>
  <si>
    <t>HRM360-ch?</t>
  </si>
  <si>
    <t>IS445-HTML/CSS</t>
  </si>
  <si>
    <t>IS380-ch01</t>
  </si>
  <si>
    <t>What is structural dependence?</t>
  </si>
  <si>
    <t>What is data dependence?</t>
  </si>
  <si>
    <t xml:space="preserve">The main objective of relational DBMSs is </t>
  </si>
  <si>
    <t>What does the term “Islands of Information” refer to?</t>
  </si>
  <si>
    <t>What is data redundancy?</t>
  </si>
  <si>
    <t>What are data redundancy problems?</t>
  </si>
  <si>
    <t xml:space="preserve">What is SQL (Structured Query Language)? </t>
  </si>
  <si>
    <t>CRUD</t>
  </si>
  <si>
    <t>What is a Database Model and why is it important?</t>
  </si>
  <si>
    <t>IS380-ch02</t>
  </si>
  <si>
    <t>What is an entity?</t>
  </si>
  <si>
    <t>What is an attribute?</t>
  </si>
  <si>
    <t>What is a relationship?</t>
  </si>
  <si>
    <t>What are business rules and how they are used in database modeling context?</t>
  </si>
  <si>
    <t xml:space="preserve">Hierarchical Model – </t>
  </si>
  <si>
    <t>Network Model</t>
  </si>
  <si>
    <t>Relational Model</t>
  </si>
  <si>
    <t>RDBMs - relational database management system (RDBMs).</t>
  </si>
  <si>
    <t>What is semantic data?</t>
  </si>
  <si>
    <t xml:space="preserve">What is a constraint? </t>
  </si>
  <si>
    <t xml:space="preserve">&lt;p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t>
  </si>
  <si>
    <t xml:space="preserve">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</si>
  <si>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t>
  </si>
  <si>
    <t>&lt;p class='space'&gt;c. File - A collection of related records. &lt;p class='space'&gt;For example, a file might contain data about the students currently enrolled at gigantic University.</t>
  </si>
  <si>
    <t>&lt;p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</si>
  <si>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&lt;p class='space'&gt;The EER model builds on entity relationship (ER) concepts and adds support for entity supertypes, subtypes, and entity clustering, enhanced entity relationship model, is the result of adding more semantic constructs to the original ER model</t>
  </si>
  <si>
    <t>&lt;p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t>
  </si>
  <si>
    <t xml:space="preserve">&lt;p class='space'&gt;inheritance enables an entity subtype to inherit the attributes and relationships of the supertype, Entity subtypes inherit all relationships in which the supertype entity participates. </t>
  </si>
  <si>
    <t xml:space="preserve">&lt;p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</si>
  <si>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 xml:space="preserve">&lt;p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</si>
  <si>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t>
  </si>
  <si>
    <t xml:space="preserve">&lt;p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t>
  </si>
  <si>
    <t>&lt;p class='space'&gt;A data characteristic in which a change in the database schema affects data access, thus requiring changes in all access programs. structural dependence, which means access to the data in a file is dependent on its structure.</t>
  </si>
  <si>
    <t>&lt;p class='space'&gt;data independence</t>
  </si>
  <si>
    <t>&lt;p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t>
  </si>
  <si>
    <t>&lt;p class='space'&gt;Increases the size of the database unnecessarily. &lt;p class='space'&gt;Poor data security. &lt;p class='space'&gt;Data inconsistency. &lt;p class='space'&gt;Data-entry errors. &lt;p class='space'&gt;Data integrity problems. &lt;p class='space'&gt;Decreases efficiency of database.</t>
  </si>
  <si>
    <t>&lt;p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t>
  </si>
  <si>
    <t>&lt;p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t>
  </si>
  <si>
    <t>&lt;p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t>
  </si>
  <si>
    <t>&lt;p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t>
  </si>
  <si>
    <t>&lt;p class='space'&gt;A constraint is a restriction placed on the data. &lt;p class='space'&gt;Constraints are important because they help to ensure data integrity. Constraints are normally expressed in the form of rules: For example, Each class must have one and only one teacher.</t>
  </si>
  <si>
    <t>&lt;p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t>
  </si>
  <si>
    <t>&lt;p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t>
  </si>
  <si>
    <t>&lt;p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t>
  </si>
  <si>
    <t>&lt;p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t>
  </si>
  <si>
    <t>IS380-ch03</t>
  </si>
  <si>
    <t>IS380-ch06</t>
  </si>
  <si>
    <t xml:space="preserve">denormalization </t>
  </si>
  <si>
    <t>determinant</t>
  </si>
  <si>
    <t xml:space="preserve">first normal form (1NF) </t>
  </si>
  <si>
    <t xml:space="preserve">second normal form (2NF) </t>
  </si>
  <si>
    <t xml:space="preserve">third normal form (3NF) </t>
  </si>
  <si>
    <t xml:space="preserve">transitive dependency </t>
  </si>
  <si>
    <t xml:space="preserve">prime attribute </t>
  </si>
  <si>
    <t xml:space="preserve">partial dependency </t>
  </si>
  <si>
    <t>granularity</t>
  </si>
  <si>
    <t xml:space="preserve">key attribute </t>
  </si>
  <si>
    <t>nonkey attribute</t>
  </si>
  <si>
    <t>normalization</t>
  </si>
  <si>
    <t>dependency diagram</t>
  </si>
  <si>
    <t>atomicity</t>
  </si>
  <si>
    <t xml:space="preserve">unnormalized data </t>
  </si>
  <si>
    <t>What is the difference between a database and a table?</t>
  </si>
  <si>
    <t>What is an Attribute Domain?</t>
  </si>
  <si>
    <t>What are keys?</t>
  </si>
  <si>
    <t>In reference to dependencies - define determinant</t>
  </si>
  <si>
    <t>In reference to dependencies - define dependent</t>
  </si>
  <si>
    <t>IS380-ch04</t>
  </si>
  <si>
    <t>Primary Key (Important)</t>
  </si>
  <si>
    <t>Foreign Key (Important)</t>
  </si>
  <si>
    <t>Superkey</t>
  </si>
  <si>
    <t>Candidate key</t>
  </si>
  <si>
    <t>Secondary key/Index (Important)</t>
  </si>
  <si>
    <t>What is a Composite Key?</t>
  </si>
  <si>
    <t>What is entity integrity?</t>
  </si>
  <si>
    <t>What is referential integrity?</t>
  </si>
  <si>
    <t>What is a null? What are some issues associated with nulls?</t>
  </si>
  <si>
    <t>What is the System Catalog?</t>
  </si>
  <si>
    <t>What is the Data Dictionary?</t>
  </si>
  <si>
    <t>What are database homonyms? Give an example.</t>
  </si>
  <si>
    <t>What are database synonyms? Give an example.</t>
  </si>
  <si>
    <t>What is a composite entity used for (also referred to as bridge entity or an associative entity)</t>
  </si>
  <si>
    <t>What are the advantages/disadvantages of storing derived values?</t>
  </si>
  <si>
    <t>How should relational databases implement the following? - Many to Many relationship</t>
  </si>
  <si>
    <t>How should relational databases implement the following? - Multi-valued attributes</t>
  </si>
  <si>
    <t>What is a weak/non-identifying relationship (how is it depicted in a Crow’s Foot ERD)?</t>
  </si>
  <si>
    <t>What are the differences between existence-dependent and existence-independent entities?</t>
  </si>
  <si>
    <t>What is a strong/identifying relationship (how is it depicted in a Crow’s Foot ERD)?</t>
  </si>
  <si>
    <t>What is a weak entity (what two conditions must be met)?</t>
  </si>
  <si>
    <t>What is a strong entity? Is it the same as a regular entity?</t>
  </si>
  <si>
    <t>What is the difference between a composite key and a composite entity?</t>
  </si>
  <si>
    <t>Explain the following in reference to relationships - Connectivity</t>
  </si>
  <si>
    <t>Explain the following in reference to relationships - Cardinality</t>
  </si>
  <si>
    <t>Explain the following relationships: - Unary</t>
  </si>
  <si>
    <t>Explain the following relationships: - Binary</t>
  </si>
  <si>
    <t>Explain the following relationships: - Ternary</t>
  </si>
  <si>
    <t>What three data anomalies are likely to be the result of data redundancy? How can such anomalies be eliminated?</t>
  </si>
  <si>
    <t>What is normalization? Why do it?</t>
  </si>
  <si>
    <t>Are there any disadvantages to normalization?</t>
  </si>
  <si>
    <t>What is denormalization? Why do it?</t>
  </si>
  <si>
    <t>If a table is in 1NF and contains a single attribute primary key, why is it automatically also in 2NF?</t>
  </si>
  <si>
    <t>What is a surrogate key?</t>
  </si>
  <si>
    <t>Suppose someone tells you that an attribute that is part of a composite primary key is also a candidate key. How would you respond to that statement?</t>
  </si>
  <si>
    <t xml:space="preserve">What is an atomic attribute? </t>
  </si>
  <si>
    <t xml:space="preserve">&lt;p class='space'&gt;An attribute that cannot be further subdivided to produce meaningful components. &lt;p class='space'&gt;For example, a person’s last name attribute cannot be meaningfully subdivided. </t>
  </si>
  <si>
    <t>&lt;p class='space'&gt;A process by which a table is changed from a higher-level normal form to a lower-level normal form, usually to increase processing speed.&lt;p class='space'&gt;Denormalization potentially yields data anomalies.</t>
  </si>
  <si>
    <t>&lt;p class='space'&gt;Any attribute in a specific row whose value directly determines other values in that row.</t>
  </si>
  <si>
    <t xml:space="preserve">&lt;p class='space'&gt;The first stage in the normalization process.&lt;p class='space'&gt;It describes a relation depicted in tabular format, with no repeating groups and a primary key identified.&lt;p class='space'&gt;All nonkey attributes in the relation are dependent on the primary key. </t>
  </si>
  <si>
    <t xml:space="preserve">&lt;p class='space'&gt;The second stage in the normalization process, in which a relation is in 1NF and there are no partial dependencies (dependencies in only part of the primary key).  </t>
  </si>
  <si>
    <t xml:space="preserve">&lt;p class='space'&gt;A table is in 3NF when it is in 2NF and no nonkey attribute is functionally dependent on another nonkey attribute; that is, it cannot include transitive dependencies. contain  </t>
  </si>
  <si>
    <t>&lt;p class='space'&gt;The level of detail represented by the values stored in a table’s row.&lt;p class='space'&gt;Data stored at its lowest level of granularity is said to be atomic data.</t>
  </si>
  <si>
    <t xml:space="preserve">&lt;p class='space'&gt;also called a nonprime attribute&lt;p class='space'&gt;An attribute that is not part of a key. </t>
  </si>
  <si>
    <t xml:space="preserve">&lt;p class='space'&gt;Not being able to be divided into smaller units.  </t>
  </si>
  <si>
    <t>&lt;p class='space'&gt;Raw data in its original state; it might contain redundant data, mul-tivalued data, and/or other data anomalies not found on normalized data relations.</t>
  </si>
  <si>
    <t>&lt;p class='space'&gt;A table is an object that lists information in rows and columns.&lt;p class='space'&gt;A database is a collection of tables that includes relationships to tie the tables together.</t>
  </si>
  <si>
    <t>&lt;p class='space'&gt;An attribute domain is a range of values for a column / attribute. E.g. a column for student GPA can have a value between 0 and 4.0.</t>
  </si>
  <si>
    <t>&lt;p class='space'&gt;One or more attributes that determine other attributes.&lt;p class='space'&gt;They ensure that each tuple within a table is uniquely identified.&lt;p class='space'&gt;Keys are used to link data form one table to another table.</t>
  </si>
  <si>
    <t>&lt;p class='space'&gt;Any attribute in a specific row whose value directly determines other values in that row.&lt;p class='space'&gt;A determinant in a database table is any attribute that you can use to determine the values assigned to other attribute(s) in the same row.</t>
  </si>
  <si>
    <t>&lt;p class='space'&gt;An attribute whose value is determined by another attribute.</t>
  </si>
  <si>
    <t>&lt;p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t>
  </si>
  <si>
    <t>&lt;p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t>
  </si>
  <si>
    <t>&lt;p class='space'&gt;A null is the absence of a value, in other words the value is unknown.&lt;p class='space'&gt;Nulls need special handling, if allowed. NULL breaks two-value (familiar True or False) logic, and requires a three-value logic.</t>
  </si>
  <si>
    <t>&lt;p class='space'&gt;A detailed system data dictionary that describes all objects in a database.</t>
  </si>
  <si>
    <t>&lt;p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t>
  </si>
  <si>
    <t>&lt;p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t>
  </si>
  <si>
    <t>&lt;p class='space'&gt;A database synonym is the use of different words for the same type of entity, Auto vs car or address vs location.</t>
  </si>
  <si>
    <t>&lt;p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t>
  </si>
  <si>
    <t>&lt;p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t>
  </si>
  <si>
    <t>&lt;p class='space'&gt;create a new entity by using a bridging table.</t>
  </si>
  <si>
    <t>&lt;p class='space'&gt;either create multiple attributes to cover all possibilities or create a new entity using a bridge table to handle multiple values.</t>
  </si>
  <si>
    <t>&lt;p class='space'&gt;A weak relationship, also known as a non-identifying relationship, exists if the primary key of the related entity does not contain a primary key component of the parent entity.&lt;p class='space'&gt;It is depicted in a crow’s foot diagram using a dotted line.</t>
  </si>
  <si>
    <t>&lt;p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t>
  </si>
  <si>
    <t>&lt;p class='space'&gt;An entity that is existence-independent, meaning it can exist apart from all of its related entities. It is also called a regular entity.</t>
  </si>
  <si>
    <t>&lt;p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</si>
  <si>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entities.&lt;p class='space'&gt;Classifications include 1:1, 1:M, and M:N</t>
  </si>
  <si>
    <t>&lt;p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t>
  </si>
  <si>
    <t>&lt;p class='space'&gt;A unary relationship is an association within an entity.&lt;p class='space'&gt;For example, an EMPLOYEE might manage another EMPLOYEE both who would show up in an employee table.</t>
  </si>
  <si>
    <t>&lt;p class='space'&gt;A binary relationship is an association (relationship) between two entities, most common type of relationship.</t>
  </si>
  <si>
    <t>&lt;p class='space'&gt;A ternary relationship is an association (relationship) between three entities.</t>
  </si>
  <si>
    <t>&lt;p class='space'&gt;Normalization is designing tables to minimize if not eliminate data redundancies.</t>
  </si>
  <si>
    <t>&lt;p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t>
  </si>
  <si>
    <t>&lt;p class='space'&gt;Denormalization is a process by which a table is changed from a higher-level normal form to a lower-level normal form.&lt;p class='space'&gt;It may be considered to improve the processing speed for complex or common queries.</t>
  </si>
  <si>
    <t>&lt;p class='space'&gt;If a table is in 1NF and includes only a single attribute key, there can be not partial dependencies because the primary key cannot be subdivided any lower.</t>
  </si>
  <si>
    <t>&lt;p class='space'&gt;A surrogate key is a system-assigned primary key, generally numeric and auto-incremented.&lt;p class='space'&gt;The surrogate key has no meaning in the user’s environment—it exists only to distinguish one entity instance from another (just like any other primary key).</t>
  </si>
  <si>
    <t>&lt;p class='space'&gt;I would say it is not a candidate key because A candidate key is a minimal superkey, in other words a superkey without any unnecessary attributes.&lt;p class='space'&gt;In this case since it is a part of a composite key that isn’t true.</t>
  </si>
  <si>
    <t xml:space="preserve">&lt;p class='space'&gt;A condition in which an attribute is dependent on another attribute that is not part of the primary key. </t>
  </si>
  <si>
    <t xml:space="preserve">&lt;p class='space'&gt;A key attribute; that is, an attribute that is part of a key or is the whole key. See also key attributes. </t>
  </si>
  <si>
    <t xml:space="preserve">&lt;p class='space'&gt;A condition in which an attribute is dependent on only a portion (subset) of the primary key. </t>
  </si>
  <si>
    <t>&lt;p class='space'&gt;The attributes that form a primary key. See also prime attribute.</t>
  </si>
  <si>
    <t>&lt;p class='space'&gt;A representation of all data dependencies (primary key, partial, or transitive) within a table.</t>
  </si>
  <si>
    <t>&lt;p class='space'&gt;Data consists of raw facts where information results from processing raw information. &lt;p class='space'&gt;Information is the result of processing raw data to reveal its meaning.</t>
  </si>
  <si>
    <t xml:space="preserve">&lt;p class='space'&gt;A shared, integrated computer structure that houses a collection of related data. &lt;p class='space'&gt;A database contains two types of data: end-user data (raw facts) and metadata. </t>
  </si>
  <si>
    <t>&lt;p class='space'&gt;Data about data; &lt;p class='space'&gt;That is, data about data characteristics and relationships.&lt;p class='space'&gt;e.g. Technical metadata properties include file types, size, creation date and time, and type of compression.</t>
  </si>
  <si>
    <t>&lt;p class='space'&gt;A database management system (DBMS) is a collection of programs that manages, the database structure and controls access to the data stored in the database.</t>
  </si>
  <si>
    <t>&lt;p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t>
  </si>
  <si>
    <t>&lt;p class='space'&gt;Cost, need to hire technical staff to design, manage, and operate the DBMS system.</t>
  </si>
  <si>
    <t xml:space="preserve">&lt;p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t>
  </si>
  <si>
    <t>&lt;p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t>
  </si>
  <si>
    <t>IS380-CH7</t>
  </si>
  <si>
    <t>DML</t>
  </si>
  <si>
    <t>DDL</t>
  </si>
  <si>
    <t>DQL</t>
  </si>
  <si>
    <t>TCL</t>
  </si>
  <si>
    <t>DCL</t>
  </si>
  <si>
    <t>SQL</t>
  </si>
  <si>
    <t>Three fundament types of data</t>
  </si>
  <si>
    <t xml:space="preserve">alias </t>
  </si>
  <si>
    <t>A computed column</t>
  </si>
  <si>
    <t>natural join</t>
  </si>
  <si>
    <t>cross join</t>
  </si>
  <si>
    <t xml:space="preserve">recursive query </t>
  </si>
  <si>
    <t>WHERE</t>
  </si>
  <si>
    <t>boolean algebra</t>
  </si>
  <si>
    <t>outer join returns?</t>
  </si>
  <si>
    <t xml:space="preserve">The number of join conditions </t>
  </si>
  <si>
    <t>What does  separation of responsibilities mean when applied to joins?</t>
  </si>
  <si>
    <t xml:space="preserve">NULL </t>
  </si>
  <si>
    <t>COUNT</t>
  </si>
  <si>
    <t>correlated subquery</t>
  </si>
  <si>
    <t>EXISTS</t>
  </si>
  <si>
    <t xml:space="preserve">&lt;p class='space'&gt;data manipulation language (DML).&lt;p class='space'&gt;SQL is a DML- it includes commands to insert, update, delete data within the database tables. </t>
  </si>
  <si>
    <t>&lt;p class='space'&gt;Data definition language (DDL). &lt;p class='space'&gt;SQL includes commands to create database objects (CREATE, ALTER, DROP, RENAME, TRUNCATE) such as tables, indexes, and views, as well as commands to define access rights to those database objects.</t>
  </si>
  <si>
    <t>&lt;p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t>
  </si>
  <si>
    <t xml:space="preserve">&lt;p class='space'&gt;Transaction Control Language (TCL) - COMMIT, ROLLBACK, SAVEPOINT </t>
  </si>
  <si>
    <t xml:space="preserve">&lt;p class='space'&gt;Data Control Language (DCL) - GRANT, REVOKE -&lt;p class='space'&gt;used to control access to database objects. </t>
  </si>
  <si>
    <t>&lt;p class='space'&gt;Structured Query Language&lt;p class='space'&gt;Its basic command set has a vocabulary of fewer than 100 words.&lt;p class='space'&gt;ANSI SQL standard</t>
  </si>
  <si>
    <t>&lt;p class='space'&gt;character data, &lt;p class='space'&gt;numeric data,&lt;p class='space'&gt;date data.</t>
  </si>
  <si>
    <t xml:space="preserve">&lt;p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t>
  </si>
  <si>
    <t xml:space="preserve">&lt;p class='space'&gt;A computed column (also called a calculated column) represents a derived attribute,  </t>
  </si>
  <si>
    <t>&lt;p class='space'&gt;natural join returns all rows with matching values in the matching columns and eliminates duplicate columns.</t>
  </si>
  <si>
    <t xml:space="preserve">&lt;p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t>
  </si>
  <si>
    <t>&lt;p class='space'&gt;cross join performs a relational product (also known as the Cartesian product) of two tables</t>
  </si>
  <si>
    <t xml:space="preserve">&lt;p class='space'&gt;recursive query&lt;p class='space'&gt;A query that joins a table to itself. </t>
  </si>
  <si>
    <t xml:space="preserve">&lt;p class='space'&gt;where&lt;p class='space'&gt;A SQL clause that adds conditional restrictions to a SELECT statement that limit the rows returned by the query </t>
  </si>
  <si>
    <t>&lt;p class='space'&gt;boolean algebra&lt;p class='space'&gt;is dedicated to the use of logical operators</t>
  </si>
  <si>
    <t>&lt;p class='space'&gt;is always equal to the number of tables being joined minus one.</t>
  </si>
  <si>
    <t>&lt;p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t>
  </si>
  <si>
    <t xml:space="preserve">&lt;p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t>
  </si>
  <si>
    <t>&lt;p class='space'&gt;Count, A SQL aggregate function that outputs the number of rows containing not null values for a given column or expression, sometimes used in conjunction with the DISTINCT clause</t>
  </si>
  <si>
    <t>&lt;p class='space'&gt;correlated subquery A subquery that executes once for each row in the outer query.</t>
  </si>
  <si>
    <t>&lt;p class='space'&gt;EXISTS In SQL, a comparison operator that checks whether a subquery returns any rows</t>
  </si>
  <si>
    <t>What is a simple attribute?</t>
  </si>
  <si>
    <t>What is a Composite attribute?</t>
  </si>
  <si>
    <t>What is a Multi-valued  attribute?</t>
  </si>
  <si>
    <t xml:space="preserve">What is a Single-value attribute? </t>
  </si>
  <si>
    <t>What is A derived attribute?</t>
  </si>
  <si>
    <t>How should relational databases implement a Many to Many relationship?</t>
  </si>
  <si>
    <t>How should relational databases implement a Multi-valued attribute?</t>
  </si>
  <si>
    <t>HRM360-CH08</t>
  </si>
  <si>
    <t xml:space="preserve"> punctuated equilibrium</t>
  </si>
  <si>
    <t>Social loafing is:</t>
  </si>
  <si>
    <t xml:space="preserve">Anything that interferes with the transmission and understanding of a message. </t>
  </si>
  <si>
    <t>Crucial conversations are?</t>
  </si>
  <si>
    <t>The acronym STATE means?</t>
  </si>
  <si>
    <t>&lt;p class='space'&gt;Derived – A derived attribute is one that is calculated from 1 or more other attributes.</t>
  </si>
  <si>
    <t>&lt;p class='space'&gt;Create a new entity by using a bridging table.</t>
  </si>
  <si>
    <t>&lt;p class='space'&gt;Groups establish periods of stable functioning until an event causes a dramatic change in norms, roles, and/or objectives. &lt;p class='space'&gt;The group then establishes and maintains new norms of functioning, returning to equilibrium</t>
  </si>
  <si>
    <t xml:space="preserve">&lt;p class='space'&gt;Social loafing is the tendency for individual effort to decline as group size increases. </t>
  </si>
  <si>
    <t xml:space="preserve">&lt;p class='space'&gt;Noise is anything that interferes with the transmission and understanding of a message. </t>
  </si>
  <si>
    <t>&lt;p class='space'&gt;Crucial conversations are discussions between two or more people where &lt;p class='space'&gt;(1) the stakes are high, &lt;p class='space'&gt;(2) opinions vary, and &lt;p class='space'&gt;(3) emotions run strong.</t>
  </si>
  <si>
    <t xml:space="preserve">&lt;p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t>
  </si>
  <si>
    <t>Listening is the?</t>
  </si>
  <si>
    <t>HRM360-CH09</t>
  </si>
  <si>
    <t>Active listening style</t>
  </si>
  <si>
    <t>involved listening style</t>
  </si>
  <si>
    <t>passive listening style</t>
  </si>
  <si>
    <t>detached listening style</t>
  </si>
  <si>
    <t>occurs when people perceive they are being attacked or threatened.</t>
  </si>
  <si>
    <t>personality conflict</t>
  </si>
  <si>
    <t>HRM360-CH10</t>
  </si>
  <si>
    <t xml:space="preserve">suggests that the more members of different groups interact, the less intergroup conflict they will experience. </t>
  </si>
  <si>
    <t xml:space="preserve">assigns someone the role of critic. </t>
  </si>
  <si>
    <t>Negotiation is</t>
  </si>
  <si>
    <t>usually concerns a single issue—a “fixed pie”—in which one person gains at the expense of another</t>
  </si>
  <si>
    <t>Conflict occurs:</t>
  </si>
  <si>
    <t>Conflict escalation often exhibits these five characteristics:</t>
  </si>
  <si>
    <t>&lt;p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t>
  </si>
  <si>
    <t>&lt;p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t>
  </si>
  <si>
    <t>&lt;p class='space'&gt;Defensiveness occurs when people perceive they are being attacked or threatened.</t>
  </si>
  <si>
    <t>&lt;p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t>
  </si>
  <si>
    <t xml:space="preserve">&lt;p class='space'&gt; contact hypothesis </t>
  </si>
  <si>
    <t>&lt;p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t>
  </si>
  <si>
    <t xml:space="preserve">&lt;p class='space'&gt; a give-and-take decision-making process between two or more parties with different preferences. </t>
  </si>
  <si>
    <t>&lt;p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t>
  </si>
  <si>
    <t>&lt;p class='space'&gt; personality conflict is interpersonal opposition based on personal dislike or disagreement.</t>
  </si>
  <si>
    <t xml:space="preserve">&lt;p class='space'&gt;devil’s advocacy assigns someone the role of critic. </t>
  </si>
  <si>
    <t xml:space="preserve">&lt;p class='space'&gt; distributive negotiation </t>
  </si>
  <si>
    <t xml:space="preserve">&lt;p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t>
  </si>
  <si>
    <t>&lt;p class='space'&gt;(1)Tactics change. Parties often move from “light tactics,” such as persuasive arguments, promises, and efforts to please the other side, to “heavy tactics” that include threats, power plays, and even violence.    &lt;p class='space'&gt;(2) Number of issues grows. More issues that bother each party are raised and included in the conflict.     &lt;p class='space'&gt;(3)Issues move from specific to general. Small and specific concerns often become more vague or general and can evolve into a general dislike of or intolerance for the other party.     &lt;p class='space'&gt;(4)Number of parties grows. More people and groups are drawn into the conflict.     &lt;p class='space'&gt;(5)Goals change. Parties change their focus from “doing well” or resolving conflict to winning and even hurting the other party.</t>
  </si>
  <si>
    <t>Connectivity is:</t>
  </si>
  <si>
    <t>Cardinality is:</t>
  </si>
  <si>
    <t>A ternary relationship is an association (relationship) between three entities.</t>
  </si>
  <si>
    <t>A binary relationship is an association (relationship) between two entities, most common type of relationship.</t>
  </si>
  <si>
    <t>A unary relationship is an association within an entity. For example, an EMPLOYEE might manage another EMPLOYEE both who would show up in an employee table.</t>
  </si>
  <si>
    <t>What is 1NF?</t>
  </si>
  <si>
    <t>What is 2NF?</t>
  </si>
  <si>
    <t>What is 3NF?</t>
  </si>
  <si>
    <t>What is a partial dependency?</t>
  </si>
  <si>
    <t>What is a transitive dependency?</t>
  </si>
  <si>
    <t>&lt;p class='space'&gt;I would say it is not a candidate key because A candidate key is a minimal superkey, in other words a superkey without any unnecessary attributes. In this case since it is a part of a composite key that isn’t true.</t>
  </si>
  <si>
    <t>&lt;p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</si>
  <si>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 &lt;p class='space'&gt;Classifications include 1:1, 1:M, and M:N.</t>
  </si>
  <si>
    <t>&lt;p class='space'&gt;The more normalized the data the more likelihood the complex relational join will be required. &lt;p class='space'&gt;For a large database this will likely be cpu intensive and take some time. This could be reduced if some data isn’t at the highest level of normalization.</t>
  </si>
  <si>
    <t>&lt;p class='space'&gt;Denormalization is a process by which a table is changed from a higher-level normal form to a lower-level normal form. It may be considered to improve the processing speed for complex or common queries.</t>
  </si>
  <si>
    <t>&lt;p class='space'&gt;1NF, means first normal from. This means the data is in table format, and there are no repeating groups, and the primary keys has been identified</t>
  </si>
  <si>
    <t>&lt;p class='space'&gt;Second normal form (2NF), which means the data is 1NF and there are no partial dependencies</t>
  </si>
  <si>
    <t>&lt;p class='space'&gt;Third normal form (3NF), which means 2NF and no transitive dependencies</t>
  </si>
  <si>
    <t>&lt;p class='space'&gt;A partial dependency is a condition in which an attribute is dependent on only a portion (subset) of the primary key.</t>
  </si>
  <si>
    <t xml:space="preserve">&lt;p class='space'&gt;A process that assigns attributes to entities so that data redundancies are reduced or eliminated. </t>
  </si>
  <si>
    <t>&lt;p class='space'&gt;Select,&lt;p class='space'&gt;Project,&lt;p class='space'&gt;Join</t>
  </si>
  <si>
    <t>&lt;p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t>
  </si>
  <si>
    <t xml:space="preserve">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t>
  </si>
  <si>
    <t>&lt;p class='space'&gt;a. Field - A character or group of characters (alphabetic or numeric) that has a specific meaning. &lt;p class='space'&gt; A field is used to define and store data&lt;p class='space'&gt;In data base terms, a field is an attribute.</t>
  </si>
  <si>
    <t>&lt;p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t>
  </si>
  <si>
    <t>&lt;p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t>
  </si>
  <si>
    <t>&lt;p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t>
  </si>
  <si>
    <t>&lt;p class='space'&gt; (CRUD) are the four basic functions of persistent storage.&lt;p class='space'&gt;Create&lt;p class='space'&gt;Read&lt;p class='space'&gt;Update&lt;p class='space'&gt;Delete</t>
  </si>
  <si>
    <t>&lt;p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t>
  </si>
  <si>
    <t xml:space="preserve">Discuss the following Relational Algebra Operators - </t>
  </si>
  <si>
    <t>Discuss the following Relational Algebra Operators - Select</t>
  </si>
  <si>
    <t>Discuss the following Relational Algebra Operators - Project</t>
  </si>
  <si>
    <t>Discuss the following Relational Algebra Operators - Join</t>
  </si>
  <si>
    <t>Discuss the following Relational Algebra Operators - Intersect</t>
  </si>
  <si>
    <t>Discuss the following Relational Algebra Operators - Union</t>
  </si>
  <si>
    <t>Discuss the following Relational Algebra Operators - Difference</t>
  </si>
  <si>
    <t>Discuss the following Relational Algebra Operators - Product</t>
  </si>
  <si>
    <t>&lt;p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DDL - data definition language and DML - data manipulation language. &lt;p class='space'&gt;Disadvantage – complex limits efficiency, navigation system yields complex implementation – app development and management; Structurally dependent.</t>
  </si>
  <si>
    <t>Object Oriented data model</t>
  </si>
  <si>
    <t>Extended Relational Data Model  - (ERDM)</t>
  </si>
  <si>
    <t xml:space="preserve">What is a class? – </t>
  </si>
  <si>
    <t xml:space="preserve">What is inheritance? - </t>
  </si>
  <si>
    <t>What is the Extended Relational Model?</t>
  </si>
  <si>
    <t>What is XML?</t>
  </si>
  <si>
    <t>NoSQL - Why did they emerge?</t>
  </si>
  <si>
    <t>NoSQL - What are their characteristics?</t>
  </si>
  <si>
    <t>NoSQL - Is the priority performance or consistency?</t>
  </si>
  <si>
    <t>NoSQL - What is the key-value data model?</t>
  </si>
  <si>
    <t>(4) data base models (classified by degrees of abstraction)</t>
  </si>
  <si>
    <t>What is Big Data?</t>
  </si>
  <si>
    <t>Three V's of bid data:</t>
  </si>
  <si>
    <t>&lt;p class='space'&gt;(1)External – Cover End-user views - Hardware and software independent.&lt;p class='space'&gt;(2)Conceptual – Covers Global view of data (database model independent) - Hardware and software independent. Conceptual models are better suited for high-level data modeling, while implementation models are better for managing stored data for implementation purposes. The ER model is an example of a conceptual model&lt;p class='space'&gt;(3)Internal – Covers Specific database model - Hardware independent.&lt;p class='space'&gt;(4)Physical – Covers Storage and access methods - Dependent on HW/SW. The physical model operates at the lowest level of abstraction, describing the way data is saved on storage media such as magnetic, solid state, or optical media.</t>
  </si>
  <si>
    <t xml:space="preserve">&lt;p class='space'&gt;Big Data -  movement to find new and better ways to manage large amounts of web-and sensor-generated data and derive business insight from it, while simultaneously providing high performance and scalability at a reasonable cost. </t>
  </si>
  <si>
    <t>&lt;p class='space'&gt;(1)Volume - refers to the amounts of data being stored. organizations are using multiple technologies to interact with end users and those technologies are generating mountains of data. This ever-growing volume of data quickly reached petabytes in size&lt;p class='space'&gt;(2)Velocity - refers not only to the speed with which data grows but also to the need to process this data quickly in order to generate information and insight. Organizations need not only to store large volumes of quickly accumulating data but also need to process such data quickly. The velocity of data growth is also due to the increase in the number of different data streams from which data is being piped to the organization (via the web, e-commerce, Tweets, Facebook posts, emails, sensors, GPS, and so on).&lt;p class='space'&gt;(3)Variety - refers to the fact that the data being collected comes in multiple different data formats. A great portion of these data comes in formats not suitable to be handled by the typical operational databases based on the relational model.</t>
  </si>
  <si>
    <t>What is structured data?</t>
  </si>
  <si>
    <t>What is first step in database design?</t>
  </si>
  <si>
    <t>Conceptual vs relational models</t>
  </si>
  <si>
    <t>Entity vs entity instance</t>
  </si>
  <si>
    <t>What is a schema:</t>
  </si>
  <si>
    <t>&lt;p class='space'&gt;Ensures historical data is maintained,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t>
  </si>
  <si>
    <t>&lt;p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&lt;p class='space'&gt;Today, most relational database products can be classified as object/relational, and they represent the dominant market share of OLTP and OLAP database applications.</t>
  </si>
  <si>
    <t>&lt;p class='space'&gt;Semantic data systems are designed to represent the real world as accurately as possible within the data set. &lt;p class='space'&gt;Data symbols are organized linearly and hierarchically to give certain meanings like the one described above. &lt;p class='space'&gt;By representing the real world within data sets, semantic data allow machines to interact with worldly information without human interpretation. &lt;p class='space'&gt;In order of lowest to highest for semantic data, hierarchical, network, Relational, entity relationship, OO and O/R DBMS.</t>
  </si>
  <si>
    <t>&lt;p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t>
  </si>
  <si>
    <t>&lt;p class='space'&gt;A simple attribute is an attribute that cannot be subdivided&lt;p class='space'&gt;For example, age, sex, and marital status would be classified as simple attributes.</t>
  </si>
  <si>
    <t>&lt;p class='space'&gt;Composite - An attribute that can be further subdivided to yield additional attributes.&lt;p class='space'&gt;For example, the attribute ADDRESS can be subdivided into street, city, state, and zip code.</t>
  </si>
  <si>
    <t>&lt;p class='space'&gt;Single-value - A single-valued attribute is an attribute that can have only a single value&lt;p class='space'&gt;Keep in mind that a single-valued attribute is not necessarily a simple attribute. For instance, a part’s serial number (such as SE-08-02-189935) is single-valued, but it is a composite attribute because it can be sub-divided into the region in which the part was produced (SE), the plant within that region (08), the shift within the plant (02), and the part number (189935).</t>
  </si>
  <si>
    <t>&lt;p class='space'&gt;Multi-valued - An attribute that can have many values for a single entity occurrence. &lt;p class='space'&gt;For example, an EMP_ DEGREE attribute might store the string “BBA, MBA, PHD” to indicate three degrees.&lt;p class='space'&gt;Although the conceptual model can handle MANY TO MANY relationships and multivalued attributes, you should not implement them in the RDBMS.</t>
  </si>
  <si>
    <t>&lt;p class='space'&gt;(1)create multiple attributes to cover all possibilities&lt;p class='space'&gt;(2)Create a new entity composed of the original multivalued attribute’s components. This new entity allows the designer to define color for different sections of the car (see Table 4.1). Then, this new CAR_COLOR entity is related to the original CAR entity in a 1 to many relationship.</t>
  </si>
  <si>
    <t>&lt;p class='space'&gt;Transitive dependency is a condition in which an attribute is dependent on another attribute that is not part of the primary key.</t>
  </si>
  <si>
    <t>&lt;p class='space'&gt;(1) In relational algebra, an operator used to select a subset of rows. Also known as RESTRICT. &lt;p class='space'&gt;(2) A SQL command that yields the values of all rows or a subset of rows in a table. The SELECT statement is used to retrieve data from tables. &lt;p class='space'&gt;Select Operation (σ) It selects tuples that satisfy the given predicate from a relation. σ subject = "database"(Books) Output − Selects tuples from books where subject is 'database'.</t>
  </si>
  <si>
    <t>&lt;p class='space'&gt;In relational algebra, an operator used to select a subset of columns. σ subject = "database"(Books), Output − Selects tuples from books where subject is 'database'. &lt;p class='space'&gt;For example − Πsubject, author (Books), Selects and projects columns named as subject and author from the relation Books.</t>
  </si>
  <si>
    <t>&lt;p class='space'&gt;relational algebra, a type of operator used to yield rows from two tables based on criteria. There are many types of joins, such as natural join, theta join, equijoin, and outer join.</t>
  </si>
  <si>
    <t>&lt;p class='space'&gt;In relational algebra, an operator used to yield only the rows that are common to two union-compatible tables.</t>
  </si>
  <si>
    <t>&lt;p class='space'&gt;Union Operation (∪) , It performs binary union between two given relations. Π author (Books) ∪ Π author (Articles), Output − Projects the names of the authors who have either written a book or an article or both.</t>
  </si>
  <si>
    <t>&lt;p class='space'&gt;Set Difference (−) , The result of set difference operation is tuples, which are present in one relation but are not in the second relation. Notation − r – s, Finds all the tuples that are present in r but not in s. Π author (Books) − Π author (Articles), Output − Provides the name of authors who have written books but not articles.</t>
  </si>
  <si>
    <t>&lt;p class='space'&gt;In relational algebra, an operator used to yield all possible pairs of rows from two tables. Also known as the Cartesian product.</t>
  </si>
  <si>
    <t>&lt;p class='space'&gt;A class is a template for an object.</t>
  </si>
  <si>
    <t>&lt;p class='space'&gt;Inheritance is defined as the ability of a lower-level object to inherit, or access, the data items and behaviors associated with all classes which are above it in the class hierarchy. In DBMS inheritance can be achieved by the “ISA-relationship”.</t>
  </si>
  <si>
    <t>&lt;p class='space'&gt;ERDBMSs have characteristics of both an RDBMS and an ODBMS (thus, the loose application of the ORDBMS label). &lt;p class='space'&gt;ERDBMS products provide a relational data model and query language that have been extended to include many of the features that are typical of ODBMSs.</t>
  </si>
  <si>
    <t>&lt;p class='space'&gt;Extensible Mark up language. a metalanguage which allows users to define their own customized markup languages, especially in order to display documents on the Internet. &lt;p class='space'&gt;Extensible Markup Language (XML) is a simple, very flexible text format derived from SGML (Standard Generalized Markup Language) (ISO 8879).&lt;p class='space'&gt;Originally designed to meet the challenges of large-scale electronic publishing, XML is also playing an increasingly important role in the exchange of a wide variety of data on the Web and elsewhere.</t>
  </si>
  <si>
    <t>&lt;p class='space'&gt;A significant amount of the Data is unstructured today – Big Data. NoSQL databases are able to handle this type of data.</t>
  </si>
  <si>
    <t>&lt;p class='space'&gt;NoSQL databases are databases, and the NoSQL model represents a different way of approaching the storage and processing of data in a nonrelational way. NoSQL databases provide distributed, fault-tolerant databases for processing non-structured data.</t>
  </si>
  <si>
    <t>&lt;p class='space'&gt;They are geared for performance.</t>
  </si>
  <si>
    <t xml:space="preserve">&lt;p class='space'&gt;The concept used by the JSON - Javascript Object notation. &lt;p class='space'&gt;Data is stored in key:value pairs. &lt;p class='space'&gt;A key-value pair (KVP) is an abstract data type that includes a group of key identifiers and a set of associated values. &lt;p class='space'&gt;Key-value pairs are frequently used in lookup tables, hash tables and configuration files. &lt;p class='space'&gt;A key-value database is a type of nonrelational database that uses a simple key-value method to store data. &lt;p class='space'&gt;A key-value database stores data as a collection of key-value pairs in which a key serves as a unique identifier. &lt;p class='space'&gt;Both keys and values can be anything, ranging from simple objects to complex compound objects. </t>
  </si>
  <si>
    <t>&lt;p class='space'&gt;Structured data - Structured data is the result of formatting unstructured data to facilitate storage, use, and generation of information. &lt;p class='space'&gt;You apply structure (format) based on the type of processing that you intend to perform on the data. Some data might not be ready (unstructured) for some types of processing, but they might be ready (structured) for other types of processing.</t>
  </si>
  <si>
    <t>&lt;p class='space'&gt;Data modeling is the first step in the database design journey</t>
  </si>
  <si>
    <t>&lt;p class='space'&gt;Conceptual models are used in the conceptual design of databases, while&lt;p class='space'&gt;relational models are used in the logical design of databases.</t>
  </si>
  <si>
    <t>&lt;p class='space'&gt;an entity in the ERM corresponds to a table, not to a row, in the relational environment. &lt;p class='space'&gt;The ERM refers to a table row as an entity instance or entity occurrence.</t>
  </si>
  <si>
    <t xml:space="preserve">&lt;p class='space'&gt;A logical grouping of database objects, such as tables, indexes, views, and queries, that are related to each other. Usually, a schema belongs to a single user or application.  </t>
  </si>
  <si>
    <t>&lt;p class='space'&gt;Existence dependent means the entity requires a parent to exist.&lt;p class='space'&gt;For example, a dependent cannot exist in an HR database if it is not associated with and employee. Existence independent mean the entity can exist on its own.\nAn entity is said to be existence-dependent if it can exist in the database only when it is associated with another related entity occurrence.</t>
  </si>
  <si>
    <t>&lt;p class='space'&gt;An entity that displays &lt;p class='space'&gt;(1) existence dependence and &lt;p class='space'&gt;(2) inherits the primary key of its parent entity as its entire of part of its primary key or\n( the PK of the related entity contains a PK component of the parent entity.}</t>
  </si>
  <si>
    <t>The term optionality is used to:</t>
  </si>
  <si>
    <t>\nThe term optionality is used to label any condition in which one or more optional relationships exist.\nMandatory participation means that one entity occurrence requires a corresponding entity occurrence in a particular relationship.\nIf no optionality symbol is depicted with the entity, the entity is assumed to exist in a mandatory relationship with the related entity. If the mandatory participation is depicted graphically, it is typically shown as a small hash mark across the relationship line, similar to the Crow’s Foot depiction of a connectivity of 1.\nThe existence of a mandatory relationship indicates that the minimum cardinality is at least 1 for the mandatory entity.</t>
  </si>
  <si>
    <t>Degree of data structure</t>
  </si>
  <si>
    <t>&lt;p class='space'&gt;(1) Update anomalies,\n(2) Insertion anomalies\n(3) Deletion anomalies.&lt;p class='space'&gt;They can be eliminated by adequately normalizing the database.</t>
  </si>
  <si>
    <t>What are some advantages of a DBMS (why would you use one)?</t>
  </si>
  <si>
    <t>\nFirst, the DBMS enables the data in the database to be shared among multiple applications or users. &lt;p class='space'&gt;Second, the DBMS integrates the many different users’ views of the data into a single all-encompassing data repository\nImproved data sharing\nImproved data security\nBetter data integration\n Minimized data inconsistency\nImproved data access\nImproved decision making\nIncreased end-user productivity</t>
  </si>
  <si>
    <t>What are some disadvantages of using a Database System?</t>
  </si>
  <si>
    <t xml:space="preserve">What is a DBMS?  </t>
  </si>
  <si>
    <t>What is a database?</t>
  </si>
  <si>
    <t>What is the difference between Data and Information?</t>
  </si>
  <si>
    <t xml:space="preserve">What are some problems with using manual file systems for data processing? </t>
  </si>
  <si>
    <t>Explain the following relationship degree: Binary</t>
  </si>
  <si>
    <t>Explain the following relationship degree:  Unary</t>
  </si>
  <si>
    <t>Explain the following relationship degree:  Ternary</t>
  </si>
  <si>
    <t>Recursive Relationships</t>
  </si>
  <si>
    <t>\na recursive relationship is one in which a relationship can exist between occurrences of the same entity set. \n(Naturally, such a condition is found within a unary relationship.)\nFor example, a 1 to many unary relationship can be expressed by “an EMPLOYEE may manage many EMPLOYEEs, and each EMPLOYEE is managed by one EMPLOYEE.”</t>
  </si>
  <si>
    <t>&lt;p class='space'&gt;A condition by which a dependent table’s foreign key must have &lt;p class='space'&gt;(1)either a null entry or &lt;p class='space'&gt;(2)a matching entry in the related table.\nReferential integrity is not bidirectional</t>
  </si>
  <si>
    <t>Purpose of ERD\Process followed</t>
  </si>
  <si>
    <t>What is UML:</t>
  </si>
  <si>
    <t>&lt;p class='space'&gt;the ERD is used for communication between designers and end users.&lt;p class='space'&gt;The process of database design is iterative rather than a linear or sequential process&lt;p class='space'&gt;</t>
  </si>
  <si>
    <t>&lt;p class='space'&gt;Unified Modeling Language (UML) is a general-purpose, developmental, modeling language in the field of software engineering that is intended to provide a standard way to visualize the design of a system.</t>
  </si>
  <si>
    <t>&lt;p class='space'&gt;The ERM uses ERDs to represent the conceptual database as viewed by the end user. &lt;p class='space'&gt;The ERM’s main components are entities, relationships, and attributes. &lt;p class='space'&gt;The ERD includes connectivity and cardinality notations, and can also show relationship strength, relationship participation (optional or mandatory), and degree of relationship (such as unary, binary, or ternary).</t>
  </si>
  <si>
    <t>&lt;p class='space'&gt;An attribute or attributes in one table whose values must match the primary key in another table or whose values must be null.&lt;p class='space'&gt;This ties the row that the FK is in to another table that uses the attribute for its primary key.&lt;p class='space'&gt;a foreign key is used to establish relationship between two tables.</t>
  </si>
  <si>
    <t>ERM (entity relationship model) vs ERD (entity relationship diagrams_</t>
  </si>
  <si>
    <t>Entity set and table</t>
  </si>
  <si>
    <t>\nthe terms entity set and table are often used interchangeably\nYou can think of a table as a persistent representation of a logical relation—that is, a relation whose contents can be permanently saved for future use. \nAs far as the table’s user is concerned, a table contains a group of related entity occurrences—that is, an entity set. For example, a STUDENT table contains a collection of entity occurrences, each representing a student.</t>
  </si>
  <si>
    <t>Logical vs Physical concepts</t>
  </si>
  <si>
    <t>\nThe database table is a logical concept rather than a physical concept, and the terms file, record, and field describe physical concepts.</t>
  </si>
  <si>
    <t>\nDetermination is the state in which knowing the value of one attribute makes it possible to determine the value of another.</t>
  </si>
  <si>
    <t>Determination is the:</t>
  </si>
  <si>
    <t>functional dependence</t>
  </si>
  <si>
    <t>\nA specific terminology and notation is used to describe relationships based on determination. The relationship is called functional dependence, which means that the value of one or more attributes determines the value of one or more other attributes.\nthe attribute whose value determines another is called the determinant or the key.\nThe attribute whose value is determined by the other attribute is called the dependent.</t>
  </si>
  <si>
    <t>&lt;p class='space'&gt;Basically, a Candidate Key is a Super Key from which no more attributes can be pruned.&lt;p class='space'&gt;A Super Key identifies uniquely rows/tuples in a table/relation of a database.</t>
  </si>
  <si>
    <t>\nEntity integrity is the condition in which each row (entity instance) in the table has its own unique identity.&lt;p class='space'&gt;The property of a relational table that guarantees each entity has &lt;p class='space'&gt;(1)a unique value in a primary key and that &lt;p class='space'&gt;(2)the key has no null values.</t>
  </si>
  <si>
    <t xml:space="preserve"> &lt;p class='space'&gt;(a single attribute or some combination of attributes), which uniquely identifies each entity instance. function of the primary key is to guarantee entity integrity, not to “describe” the entity\nA null is never allowed in any part of the primary key.</t>
  </si>
  <si>
    <t>&lt;p class='space'&gt;Data retrieval for a customer is easier when the customer’s last name and phone number are used. In that case, the primary key is the customer number; the secondary key is the combination of the customer’s last name and phone number. Keep in mind that a secondary key does not necessarily yield a unique outcome.\nA secondary index is a data structure that contains a subset of attributes from a table, along with an alternate key to support Query operations.&lt;p class='space'&gt;You can retrieve data from the index using a Query, in much the same way as you use Query with a table.</t>
  </si>
  <si>
    <t>select</t>
  </si>
  <si>
    <t>IS380-CH03</t>
  </si>
  <si>
    <t>IS380-CH07</t>
  </si>
  <si>
    <t>project</t>
  </si>
  <si>
    <t>join</t>
  </si>
  <si>
    <t>&lt;p class='space'&gt;Unstructured data - Unstructured data is data that exists in its original (raw) state—that is, in the format in which it was collected. Therefore, unstructured data exists in a format that does not lend itself to the processing that yields information&lt;p class='space'&gt;Structured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</si>
  <si>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courses.&lt;p class='space'&gt;Crow’s Foot modeling notation do not depict the specific cardinalities on the ER diagram itself because the specific limits described by the cardinalities cannot be implemented directly through the database design.</t>
  </si>
  <si>
    <t>&lt;p class='space'&gt;SELECT yields a horizontal subset of a table. SELECT will not limit the attributes returned so all attributes of the table will be included in the result.&lt;p class='space'&gt;Select is denoted by the lowercase Greek letter sigma (σ).</t>
  </si>
  <si>
    <t>&lt;p class='space'&gt;Project Project yields all values for selected attributes.&lt;p class='space'&gt;It is also a unary operator, accepting only one table as input.&lt;p class='space'&gt;PROJECT will return only the attributes requested, in the order in which they are requested.&lt;p class='space'&gt;In other words, PROJECT yields a vertical subset of a table.&lt;p class='space'&gt;PROJECT will not limit the rows returned, so all rows of the specified attributes will be included in the result.</t>
  </si>
  <si>
    <t>&lt;p class='space'&gt;Join allows information to be intelligently combined from two or more tables. JOIN is the real power behind the relational database, allowing the use of independent tables linked by common attributes.</t>
  </si>
  <si>
    <t>Two theories used in terms of learning:</t>
  </si>
  <si>
    <t>Three components of operant conditioning:</t>
  </si>
  <si>
    <t>What are the sources of self-efficacy?</t>
  </si>
  <si>
    <t>Self-efficacy is the belief we have in our own abilities, specifically our ability to meet the challenges ahead of us and complete a task successfully (Akhtar, 2008). General self-efficacy refers to our overall belief in our ability to succeed, but there are many more specific forms of self-efficacy as well (e.g., academic, parenting, sports).</t>
  </si>
  <si>
    <t>What is Self-efficacy?</t>
  </si>
  <si>
    <t>Smart Goals</t>
  </si>
  <si>
    <t>Performance Management</t>
  </si>
  <si>
    <t>Performance Management - There are two general categories of performance behavior:</t>
  </si>
  <si>
    <t>Differences between  task and contextual performance</t>
  </si>
  <si>
    <t>Difficult (but not impossible) and specific goals can:</t>
  </si>
  <si>
    <t>Participative goal setting (vs. assigned goals):</t>
  </si>
  <si>
    <t xml:space="preserve">&lt;p class='space'&gt;Positive reinforcement (give positive consequences)&lt;p class='space'&gt; Negative reinforcement (withhold negative consequences)  </t>
  </si>
  <si>
    <t xml:space="preserve">&lt;p class='space'&gt;Performance management is a set of processes and managerial behaviors that include defining, monitoring, evaluating, and providing consequences for performance expectations&lt;p class='space'&gt;Through performance management, we can regulate what employees learn and direct that learning towards completing job tasks </t>
  </si>
  <si>
    <t xml:space="preserve">&lt;p class='space'&gt;(1) Directing attention towards goal-relevant activities&lt;p class='space'&gt;(2) Energizing people towards activity and behavior&lt;p class='space'&gt;(3) Encouraging persistence when possible&lt;p class='space'&gt;(4) Eliciting the use or learning (when needed) of task-relevant knowledge and strategies </t>
  </si>
  <si>
    <t>Four steps of performance management:</t>
  </si>
  <si>
    <t>Goal setting serves three major functions:</t>
  </si>
  <si>
    <t xml:space="preserve">&lt;p class='space'&gt;(1) Highlighting the importance of the goal: &lt;p class='space'&gt;making commitment public, validation and support from leaders, participative goal-setting, financial compensation&lt;p class='space'&gt;  (2) Boosting an employee’s goal-specific self-efficacy: &lt;p class='space'&gt;Adequate training/development, role-modeling (social learning theory), persuasive/inspirational communication </t>
  </si>
  <si>
    <t>Goal commitment</t>
  </si>
  <si>
    <t xml:space="preserve">&lt;p class='space'&gt;Goals not only need to be set, but employees need to feel committed to those goals; goal commitment enhances the motivating potential of goals </t>
  </si>
  <si>
    <t>Performance feedback is CRITICAL for motivating and improving performance; managers should:</t>
  </si>
  <si>
    <t xml:space="preserve">Managers can attribute performance issues to either internal or external causes by collecting the following information: </t>
  </si>
  <si>
    <t xml:space="preserve">&lt;p class='space'&gt;Consistency:&lt;p class='space'&gt;Does the behavior always occur?&lt;p class='space'&gt; &lt;p class='space'&gt;Consensus:&lt;p class='space'&gt;Does everyone else exhibit the behavior in that situation?&lt;p class='space'&gt; &lt;p class='space'&gt;Distinctiveness:&lt;p class='space'&gt;Does the person act that was in other situations? </t>
  </si>
  <si>
    <t>What is a performance appraisal?</t>
  </si>
  <si>
    <t>Formal Appraisals and Reviews - Good performance appraisals are:</t>
  </si>
  <si>
    <t>To help maintain employee motivation long-term:</t>
  </si>
  <si>
    <t>&lt;p class='space'&gt;(1) performance management practices are often obsolete.&lt;p class='space'&gt;(2) performance management is time consuming.&lt;p class='space'&gt;(3) performance reviews are too narrow.</t>
  </si>
  <si>
    <t xml:space="preserve">Coaching is: </t>
  </si>
  <si>
    <t xml:space="preserve">Learning - Undesired behaviors  </t>
  </si>
  <si>
    <t xml:space="preserve">Learning - Desired behaviors </t>
  </si>
  <si>
    <t>What is Social Learning Theory?</t>
  </si>
  <si>
    <t>Goals affect performance through four routes:</t>
  </si>
  <si>
    <t xml:space="preserve">Performance-based goals vs learning-based goals </t>
  </si>
  <si>
    <t>&lt;p class='space'&gt;Performance goals are focused on workplace accomplishments. &lt;p class='space'&gt;Learning goals, meanwhile, center on an employee's desire to improve his skills and abilities to achieve higher levels of performance in the workplace.&lt;p class='space'&gt;Performance-based goals are less effective with complex tasks than are learning-based goals</t>
  </si>
  <si>
    <t xml:space="preserve">&lt;p class='space'&gt;Extinction (Weakening a behavior by ignoring it or making sure it is not reinforced is referred to as extinction)&lt;p class='space'&gt;Punishment (give negative consequences or  withhold positive consequences)  </t>
  </si>
  <si>
    <t xml:space="preserve">&lt;p class='space'&gt;Successful past performance&lt;p class='space'&gt;Vicarious experience - (seeing others like us successfully completing similar work)  &lt;p class='space'&gt;Verbal persuasion (coaching, displaying confidence) </t>
  </si>
  <si>
    <t>&lt;p class='space'&gt;Step 1: Defining performance. Set goals, communicate expectations&lt;p class='space'&gt;Step 2: Monitoring and evaluating performance. Measure and evaluate progress and outcomes. &lt;p class='space'&gt;Step 3: Reviewing performance. Deliver feedback and coaching. &lt;p class='space'&gt;Step 4: Providing consequences. Administer valued rewards and appropriate punishment.</t>
  </si>
  <si>
    <t>&lt;p class='space'&gt;Task performance is often clearly defined.&lt;p class='space'&gt;Contextual performance is typically discretionary and not a mandatory part of an employee’s job.</t>
  </si>
  <si>
    <t>The process of establishing desired results that guide and direct behavior</t>
  </si>
  <si>
    <t xml:space="preserve">&lt;p class='space'&gt;Enhance performance&lt;p class='space'&gt;     More so than no goals or “do your best” goals&lt;p class='space'&gt;     But only if feedback is received throughout </t>
  </si>
  <si>
    <t xml:space="preserve">&lt;p class='space'&gt;(1) Increase work motivation and thus performance &lt;p class='space'&gt;(2) Reduce role stress (e.g., task conflict, role ambiguity, job overload) &lt;p class='space'&gt;(3) Improve accuracy and validity of performance evaluations </t>
  </si>
  <si>
    <t xml:space="preserve">&lt;p class='space'&gt;(1) Be specific and refer to incidents, facts, and observable behaviors &lt;p class='space'&gt;(2) Focus on changeable behaviors &lt;p class='space'&gt;(3) Plan the session ahead of time (give evaluations ahead of time to let employee prepare) &lt;p class='space'&gt;(4) Balance positive with negative feedback </t>
  </si>
  <si>
    <t xml:space="preserve">PM-Monitoring and Providing Feedback - Three steps to identify and correct performance issues: </t>
  </si>
  <si>
    <t>&lt;p class='space'&gt;Enhances performance if it causes a person to set difficult goals</t>
  </si>
  <si>
    <t>&lt;p class='space'&gt;(1) Identify the cause of poor performance &lt;p class='space'&gt;     If internal/personal, determine source; &lt;p class='space'&gt;     If external, fix if possible &lt;p class='space'&gt;(3) Develop correction plan</t>
  </si>
  <si>
    <t xml:space="preserve">&lt;p class='space'&gt;Performance appraisal is the evaluation of performance and serves many functions:&lt;p class='space'&gt;Providing feedback,&lt;p class='space'&gt;Setting developmental goals, &lt;p class='space'&gt;Deciding pay/promotions </t>
  </si>
  <si>
    <t xml:space="preserve">&lt;p class='space'&gt;(1) Valid (many parts of performance), &lt;p class='space'&gt;(2) Reliable (multiple sources), &lt;p class='space'&gt;(3) Responsive to employee input, &lt;p class='space'&gt;(4) Flexible, and &lt;p class='space'&gt;(5) Equitable (fair) </t>
  </si>
  <si>
    <t>&lt;p class='space'&gt;Managers can provide feedback regularly;&lt;p class='space'&gt;if done consistently, this practice can help maintain employee motivation long-term</t>
  </si>
  <si>
    <t>&lt;p class='space'&gt; A customized process between two or more people with the intent of enhancing learning and motivating change</t>
  </si>
  <si>
    <t xml:space="preserve">&lt;p class='space'&gt;(1) Classical conditioning&lt;p class='space'&gt; Modifies behavior by pairing an unconditioned stimulus with a conditioned stimulus in order to elicit an unconditioned response&lt;p class='space'&gt;(2) Operant conditioning&lt;p class='space'&gt; Modifies behavior by following it with positive or negative consequences - Operant conditioning proposes that behavior can be modified by changing its consequences </t>
  </si>
  <si>
    <t xml:space="preserve">Learning - Reinforcement: </t>
  </si>
  <si>
    <t>Learning - Extinction</t>
  </si>
  <si>
    <t>Learning - Punishment</t>
  </si>
  <si>
    <t>Team vs Group</t>
  </si>
  <si>
    <t xml:space="preserve">&lt;p class='space'&gt;A group is two or more individuals, interacting and interdependent, who have come together to achieve particular objectives &lt;p class='space'&gt;A team is a group composed of members with complementary skills who hold themselves mutually accountable for common goals and performance </t>
  </si>
  <si>
    <t>When does a group become a team.</t>
  </si>
  <si>
    <t>Two foundational social processes that maintain team functioning:</t>
  </si>
  <si>
    <t>Groups and teams form through a number of phases as they resolve ambiguity in these issues:</t>
  </si>
  <si>
    <t>Team formation - Forming:</t>
  </si>
  <si>
    <t>Team formation - Storming:</t>
  </si>
  <si>
    <t>Team formation - Norming:</t>
  </si>
  <si>
    <t>Team formation - Performing:</t>
  </si>
  <si>
    <t xml:space="preserve">punctuated equilibrium model </t>
  </si>
  <si>
    <t>Factors that affect team cohesion:</t>
  </si>
  <si>
    <t>Team cohesion</t>
  </si>
  <si>
    <t xml:space="preserve">&lt;p class='space'&gt;Storming: People evaluate each other, conflict, and compete for roles/positions&lt;p class='space'&gt;Conflict&lt;p class='space'&gt;Increased clarity of purpose\(Power struggles, coaching) </t>
  </si>
  <si>
    <t>&lt;p class='space'&gt;Performing: Focus on goal attainment, adaptive and self-correcting\Clear vision and purpose&lt;p class='space'&gt;Focus on goal achievement&lt;p class='space'&gt;(Delegation)</t>
  </si>
  <si>
    <t>&lt;p class='space'&gt;Adjourning: Team members move on&lt;p class='space'&gt;Good feelings about achievements&lt;p class='space'&gt;(Recognition)</t>
  </si>
  <si>
    <t xml:space="preserve">&lt;p class='space'&gt;The punctuated equilibrium model finds that groups will spend large periods of time at one stage, and then experience certain key events that rapidly accelerate development before settling on a new baseline group behavior </t>
  </si>
  <si>
    <t>&lt;p class='space'&gt;Small group size, consensus on goals , interaction frequency, status, difficulty to join, intergroup competition, group-based rewards, distance&lt;</t>
  </si>
  <si>
    <t>Social Loafing</t>
  </si>
  <si>
    <t>How to reduce the chance of social loafing?</t>
  </si>
  <si>
    <t>Virtual teams</t>
  </si>
  <si>
    <t>Best Uses of Virtual Teams:</t>
  </si>
  <si>
    <t xml:space="preserve">&lt;p class='space'&gt;A primary threat to cohesion is social loafing, which is the tendency for individual effort to decline as group size increases; </t>
  </si>
  <si>
    <t xml:space="preserve">&lt;p class='space'&gt;Set group goals (gives common purpose), &lt;p class='space'&gt;peer evaluations, &lt;p class='space'&gt;allows members autonomy in deciding their roles, &lt;p class='space'&gt;identifying/rewarding individuals’ input into a group </t>
  </si>
  <si>
    <t>&lt;p class='space'&gt;Virtual teams work together over time and distance via electronic media to combine effort and achieve common goals.&lt;p class='space'&gt; Members of virtual teams report in from different locations, different organizations, and often different time zones and countries.&lt;p class='space'&gt;Advocates say virtual teams are very flexible and efficient because they are driven by information and skills, not by time and location.&lt;p class='space'&gt;</t>
  </si>
  <si>
    <t>&lt;p class='space'&gt;Virtual teams and distributed workers present many potential benefits:&lt;p class='space'&gt;reduced real estate costs (limited or no office space); &lt;p class='space'&gt;ability to leverage diverse knowledge, skills, and experience across geography and time (you don’t have to have an SAP expert in every office); &lt;p class='space'&gt;ability to share knowledge of diverse markets; &lt;p class='space'&gt;and reduced commuting and travel expenses. &lt;p class='space'&gt;The flexibility often afforded by virtual teams also can reduce work–life conflicts for employees, which some employers contend makes it easier for them to attract and retain talent.</t>
  </si>
  <si>
    <t>Obstacles for Virtual Teams</t>
  </si>
  <si>
    <t>Effective Virtual Team Participation and Management</t>
  </si>
  <si>
    <t>&lt;p class='space'&gt;difficult for establish team cohesion&lt;p class='space'&gt;work satisfaction&lt;p class='space'&gt;trust&lt;p class='space'&gt;cooperative behavior,&lt;p class='space'&gt;commitment to team goals. &lt;p class='space'&gt;building team relationships is more difficult when members are geographically distributed.&lt;p class='space'&gt;Members of virtual teams also reported being unable to observe the nonverbal cues of other members and a lack of collegiality.</t>
  </si>
  <si>
    <t>&lt;p class='space'&gt;Goal-setting</t>
  </si>
  <si>
    <t xml:space="preserve">&lt;p class='space'&gt;Team cohesion is the strength and extent of interpersonal connection existing among the members of a group. &lt;p class='space'&gt;It is this interpersonal bond that causes members to participate readily and remain motivated to accomplish the set goals. &lt;p class='space'&gt;Cohesive teams have an attitude of “we-ness”&lt;p class='space'&gt;team cohesion, which is attraction among members and a motivation to stay in the team&lt;p class='space'&gt;Cohesion can enhance engagement and team performance,   </t>
  </si>
  <si>
    <t xml:space="preserve">&lt;p class='space'&gt;(1) Interpersonal: trust, personal comfort, security&lt;p class='space'&gt;(2) Task: mission/purpose of group, methods, outcomes expected&lt;p class='space'&gt;(3) Authority; assigning leadership, determining how power is managed. </t>
  </si>
  <si>
    <t xml:space="preserve">&lt;p class='space'&gt;Norms: which are attitudes, opinions, feelings, or action patterns that are shared by two or more people, and guide behavior&lt;p class='space'&gt;Roles: a set of expected behaviors for a particular position (or group as a whole); roles are often perceived and are intertwined, which makes them flexible depending on the situation&lt;p class='space'&gt;roles tend to be either task-based or maintenance-based </t>
  </si>
  <si>
    <t>Communication is:</t>
  </si>
  <si>
    <t>Communication serves four functions at work:</t>
  </si>
  <si>
    <t>&lt;p class='space'&gt;Forming&lt;p class='space'&gt;Storming&lt;p class='space'&gt;Norming&lt;p class='space'&gt;Performing&lt;p class='space'&gt;Adjourning</t>
  </si>
  <si>
    <t xml:space="preserve">&lt;p class='space'&gt;Communication is the facilitation of a shared understanding of meaning in the mind of another person </t>
  </si>
  <si>
    <t xml:space="preserve">&lt;p class='space'&gt;(1) Exercising control via authority and influence &lt;p class='space'&gt;(2) Eliciting motivation in others &lt;p class='space'&gt;(3) Facilitating emotional expression and support &lt;p class='space'&gt;(4) Providing information for decision making </t>
  </si>
  <si>
    <t xml:space="preserve">Communication - A message has two components: </t>
  </si>
  <si>
    <t xml:space="preserve">Communication Process - Once encoded, a message is transmitted through:  </t>
  </si>
  <si>
    <t xml:space="preserve">Communication Process - capacity vs richness </t>
  </si>
  <si>
    <t xml:space="preserve">Nonverbal Communication </t>
  </si>
  <si>
    <t xml:space="preserve">&lt;p class='space'&gt;(1) Cognition: Content in terms of words, ideas, symbols, concepts &lt;p class='space'&gt;(2) Affect: Emotion in terms of intensity, demeanor, gestures, discrete emotions (e.g., anger, joy)&lt;p class='space'&gt;The meaning of these two components to a receiver will vary based on how it travels through the communication process  </t>
  </si>
  <si>
    <t xml:space="preserve">&lt;p class='space'&gt;One of two types of general channels:&lt;p class='space'&gt;(1) Formal channels that are proscribed by organization’s policies, procedures, and design; this can be vertically upward or downward, and horizontally lateral &lt;p class='space'&gt;(2) Informal channels that are spontaneous, personal (between people), are regardless of anyone’s formal position; these often take the form of gossip or “grapevines” that arise when employees feel uninformed or lied to  </t>
  </si>
  <si>
    <t>&lt;p class='space'&gt;Face to face has the highest richness but the lowest data capacity.&lt;p class='space'&gt;highest to lowest richness&lt;p class='space'&gt;Face-to-face&lt;p class='space'&gt;telephone&lt;p class='space'&gt;e-mail&lt;p class='space'&gt;individualized letter&lt;p class='space'&gt;personalized memo&lt;p class='space'&gt;formal written report&lt;p class='space'&gt;flyer of bulletin&lt;p class='space'&gt;formal numeric report</t>
  </si>
  <si>
    <t xml:space="preserve">&lt;p class='space'&gt;Although most of our communication is verbal (oral or written), between 65-90% of the meaning in a given message is communicated nonverbally &lt;p class='space'&gt;Nonverbal communication is highly sensitive to sender/receiver characteristics, and context </t>
  </si>
  <si>
    <t>&lt;p class='space'&gt;When leadership becomes a shared activity&lt;p class='space'&gt;(1) Accountability shifts from strictly individual to both individual and collective&lt;p class='space'&gt;(2) The group develops its own purpose or mission&lt;p class='space'&gt;(3) Problem solving becomes a way of life&lt;p class='space'&gt;(4) Effectiveness is measured by the groups collective outcomes and products</t>
  </si>
  <si>
    <t>&lt;p class='space'&gt;Undefined roles makes people dependent on a leader or initial goals&lt;p class='space'&gt;Little agreement&lt;p class='space'&gt;unclear purpose&lt;p class='space'&gt;(Guidance and direction)</t>
  </si>
  <si>
    <t>Team formation - Adjourning:</t>
  </si>
  <si>
    <t>&lt;p class='space'&gt;Researchers and consultants agree about one aspect of virtual teams—there is no substitute for face-to-face contact.&lt;p class='space'&gt;Adapt your communications. based on team preferences for e-mail, texts, and phone calls. regularly scheduled calls (via Skype). Don’t just blanket everybody via e-mail—focus your message. Accommodate the different time zones in a fair and consistent manner.  &lt;p class='space'&gt;Share the love. Use technology to keep distributed workers in the loop. Acknowledging birthdays and recognizing accomplishments are especially important for those who are not regularly in the office. use Newsletters as a touch point and vehicle for communicating best practices and success stories.  &lt;p class='space'&gt;Develop productive relationships with key people on the team. This may require extra attention, communication, and travel, Key people are the ones you can lean on and the ones who will make or break the team assignment.  &lt;p class='space'&gt;Be a good partner. if team member is not employee, read them like true partners and not hired help.  &lt;p class='space'&gt;Be available. Managers and remote workers all need to know when people can be reached, where, and how. Let people know and make yourself available.  &lt;p class='space'&gt;Document the work. Allow work to be handed off from one zone to the next. Doing this effectively requires that both senders and receivers clearly specify what they have completed and what they need in each transfer.  &lt;p class='space'&gt;Provide updates. Even if you are not the boss, or your boss doesn’t ask for them, be sure to provide regular updates on your progress to the necessary team members.  &lt;p class='space'&gt;Select the right people. Effective virtual workers generally prefer and do well in interdependent work relationships, tend to be self starters and willing to take initiative. In contrasts with people who prefer to wait for instructions before taking action.  &lt;p class='space'&gt;Use your communication skills. Because so much communication is written, virtual team members must have excellent communication skills and write well in easy-to-understand and to-the-point language.</t>
  </si>
  <si>
    <t>Four types of nonverbal communication:</t>
  </si>
  <si>
    <t xml:space="preserve">Barriers to communication - perceptual filters </t>
  </si>
  <si>
    <t xml:space="preserve">&lt;p class='space'&gt;When perceiving communication from others, people have perceptual filters that affect how they experience and react to that communication; these filters can be psychological, experiential, or situational &lt;p class='space'&gt;Examples: Age, gender, values, beliefs, experiences, personality, cultural biases, needs, time pressures, excessive stimulation, moods, etc. </t>
  </si>
  <si>
    <t>Barriers to communication - Other barriers:</t>
  </si>
  <si>
    <t xml:space="preserve">Barriers to communication - Three common perceptual tendencies: </t>
  </si>
  <si>
    <t xml:space="preserve">&lt;p class='space'&gt;Selective perception: People tend to notice and accept information that is consistent with their existing beliefs, values, and expectations&lt;p class='space'&gt; &lt;p class='space'&gt;Attribution errors: People tend to either attribute others’ behavior to either external causes (defensive bias) or internal causes (fundamental attribution error), ignoring or downplaying the other&lt;p class='space'&gt; &lt;p class='space'&gt;Self-serving bias: Tendency to attribute our own successes to internal causes, and our own failures to external causes </t>
  </si>
  <si>
    <t xml:space="preserve">&lt;p class='space'&gt;Status differences: Intimidated when communicating upward or disinterested when downward &lt;p class='space'&gt;Gender: Different communication styles &lt;p class='space'&gt;Cultural diversity: Some place more importance on authority; many cultures have stereotypes of other cultures that create automatic perception barriers &lt;p class='space'&gt;Language: Cultural language, jargon and professional language can be efficient, but alienating to others </t>
  </si>
  <si>
    <t>Active listening is:</t>
  </si>
  <si>
    <t>Four types of responses facilitate active listening:</t>
  </si>
  <si>
    <t xml:space="preserve">&lt;p class='space'&gt;Active listening is seeking to fully understand the sender’s intended message, rather than focusing only on one’s response to the message </t>
  </si>
  <si>
    <t>\nStop talking</t>
  </si>
  <si>
    <t>\nPut the speaker at ease</t>
  </si>
  <si>
    <t>\nShow the speaker you want to listen</t>
  </si>
  <si>
    <t>\nRemove distractions</t>
  </si>
  <si>
    <t>\nEmpathize with the speaker</t>
  </si>
  <si>
    <t>\nBe patient</t>
  </si>
  <si>
    <t>\nHold your temper</t>
  </si>
  <si>
    <t>\nGo easy on criticism</t>
  </si>
  <si>
    <t>\nAsk questions, paraphrase, and clarify</t>
  </si>
  <si>
    <t>\nStop talking! Be sure the speaker has finished before you talk</t>
  </si>
  <si>
    <t xml:space="preserve">Ways to improve your active listening skills: </t>
  </si>
  <si>
    <t>&lt;p class='space'&gt;Stop talking &lt;p class='space'&gt;Put the speaker at ease &lt;p class='space'&gt;Show the speaker you want to listen &lt;p class='space'&gt;Remove distractions &lt;p class='space'&gt;Empathize with the speaker &lt;p class='space'&gt;Be patient &lt;p class='space'&gt;Hold your temper &lt;p class='space'&gt;Go easy on criticism &lt;p class='space'&gt;Ask questions, paraphrase, and clarify &lt;p class='space'&gt;Stop talking! Be sure the speaker has finished before you talk</t>
  </si>
  <si>
    <t>Assertive communication</t>
  </si>
  <si>
    <t xml:space="preserve">&lt;p class='space'&gt;(1) Kinesics: Body movement and posture (e.g., clenching fists when stressed, “the finger”, hand-shaking &lt;p class='space'&gt;(2) Face/Eye Behavior: Often reveal emotions, behavioral intentions, and provide cues to the receiver; eye contact and smiling can enhance active listening and empathy &lt;p class='space'&gt;(3) Paralanguage: Variations in speech such as pitch, loudness, tempo, tone, duration, laughing, and crying&lt;p class='space'&gt;(4) Proximity: Physical closeness is an indicator of social/intimate closeness; receivers can be put in intimate, personal (e.g., friends), social, or public “zones”  </t>
  </si>
  <si>
    <t xml:space="preserve">&lt;p class='space'&gt;(1) Affirming contact: Communicate attentiveness, not necessarily agreement-lets person know your are listening – very non verbal &lt;p class='space'&gt;(2) Paraphrasing: Repeat message back in own words &lt;p class='space'&gt;(3) Clarify the implicit: Verbalize unsaid emotions/thoughts &lt;p class='space'&gt;(4) Reflect core feelings: Identify underlying values empathize at a deeper level  (Not on exam)  </t>
  </si>
  <si>
    <t>&lt;p class='space'&gt;Assertive communication: which is direct, clear, informative, respectful.&lt;p class='space'&gt;The key is self-control when communicating:  &lt;p class='space'&gt;Make your statement, then ask for opinions and wait until some have been voiced fully before responding &lt;p class='space'&gt;Minimize self-deprecation (unless being humorous) &lt;p class='space'&gt;Use “I” statements &lt;p class='space'&gt;Judge the behavior, not the person</t>
  </si>
  <si>
    <t>HRM360-CH06</t>
  </si>
  <si>
    <t>HRM360-CH01</t>
  </si>
  <si>
    <t>HRM360-CH02</t>
  </si>
  <si>
    <t>HRM360-CH03</t>
  </si>
  <si>
    <t>HRM360-CH04</t>
  </si>
  <si>
    <t>HRM360-CH05</t>
  </si>
  <si>
    <t>Decision-making two types:</t>
  </si>
  <si>
    <t>Rational decision-making - six steps:</t>
  </si>
  <si>
    <t xml:space="preserve">Rational decision model strengths/weaknesses: </t>
  </si>
  <si>
    <t xml:space="preserve">&lt;p class='space'&gt;Strengths:&lt;p class='space'&gt; Careful – thoughtful -encourages deliberation, avoids jumping into first accessible conclusion &lt;p class='space'&gt;Weaknesses:&lt;p class='space'&gt; Takes time, limits to human information processing,  requires a lot of data/info, may change weight of alternatives retroactively </t>
  </si>
  <si>
    <t>Rational decision model assumptions:</t>
  </si>
  <si>
    <t>üThe outcome will be rational (not emotional or unpredicted)</t>
  </si>
  <si>
    <t>üThe decision maker has a consistent set of preferences</t>
  </si>
  <si>
    <t>üThe decision maker is aware of all possible alternatives</t>
  </si>
  <si>
    <t>üThe decision maker can calculate probability of success for each alternative</t>
  </si>
  <si>
    <t xml:space="preserve">&lt;p class='space'&gt;The rational model assumes: &lt;p class='space'&gt;(1) The outcome will be rational (not emotional or unpredicted) &lt;p class='space'&gt;(2) The decision maker has a consistent set of preferences &lt;p class='space'&gt;(3) The decision maker is aware of all possible alternatives &lt;p class='space'&gt;(4) The decision maker can calculate probability of success for each alternative </t>
  </si>
  <si>
    <t>Bounded Rationality</t>
  </si>
  <si>
    <t>Bounded Rationality - Assumptions:</t>
  </si>
  <si>
    <t xml:space="preserve">&lt;p class='space'&gt;Bounded rationality assumes people: &lt;p class='space'&gt;(1) Select the first satisfactory alternative (satisficing) because costs (time, effort) are too high to optimize the decision &lt;p class='space'&gt;(2) Recognize that their conception of the world is simple &lt;p class='space'&gt;(3) Are comfortable making decisions without determining all the alternatives &lt;p class='space'&gt;(4) Make decisions by “rules of thumb” or heuristics because they save mental energy. </t>
  </si>
  <si>
    <t xml:space="preserve">Heuristics </t>
  </si>
  <si>
    <t xml:space="preserve">&lt;p class='space'&gt;Reliance on heuristics, impulses, and even intuition (where not well-honed), can lead to biases:&lt;p class='space'&gt;&lt;p class='space'&gt;(1)  Overconfidence in one’s personal judgment/cognition &lt;p class='space'&gt;(2)  Anchoring decisions based on initial information &lt;p class='space'&gt;(3)  Seeking/accepting information that offers confirmation of our past or present experiences  &lt;p class='space'&gt;(4)  Base judgments on readily available information &lt;p class='space'&gt;(5)  Believing we can predict the outcomes of randomness &lt;p class='space'&gt;(6) Believing in hindsight that one was accurate  </t>
  </si>
  <si>
    <t>&lt;p class='space'&gt;(1) Programmatic decisions are routine and based on established decision rules (most decisions programmatic)&lt;p class='space'&gt;(2) Non-programmatic decisions require creative solutions – requires conscious deliberations</t>
  </si>
  <si>
    <t xml:space="preserve">&lt;p class='space'&gt;Rational decision-making is a systematic process of defining problems, evaluating alternatives, and choosing optimal solutions&lt;p class='space'&gt;(1) Define the problem &lt;p class='space'&gt;(2) Identify decision criteria (standards to be met) &lt;p class='space'&gt;(3) Weight the criteria in terms of value/importance &lt;p class='space'&gt;(4) Generate alternative courses of action &lt;p class='space'&gt;(5) Evaluate each alternative against each criterion &lt;p class='space'&gt;(6) Compute the optimal decision </t>
  </si>
  <si>
    <t>What is the Framing Effect?</t>
  </si>
  <si>
    <t>The Framing effect is the principle that our choices are influenced by the way they are framed through different wordings, settings, and situations.</t>
  </si>
  <si>
    <t>How does it happen?</t>
  </si>
  <si>
    <t>The Decision Lab</t>
  </si>
  <si>
    <t>The Decision Lab is a think tank focused on creating positive impact in the public and private sectors by applying behavioral science.</t>
  </si>
  <si>
    <t>We are on a mission to democratize behavioral science.</t>
  </si>
  <si>
    <t>Learn More</t>
  </si>
  <si>
    <t>Which one of these products would you pick: A ‘95% effective’ condom or a ‘5% failure’ condom? ‘80% lean’ ground beef or ‘20%’ fat ground beef? Most people would be more likely to choose the first option in both cases, even though the two choices are identical.</t>
  </si>
  <si>
    <t>&lt;p class='space'&gt;The Framing effect is the principle that our choices are influenced by the way they are framed through different wordings, settings, and situations. &lt;p class='space'&gt;How does it happen? &lt;p class='space'&gt;Which one of these products would you pick: &lt;p class='space'&gt;A ‘95% effective’ condom or a ‘5% failure’ condom? &lt;p class='space'&gt;‘80% lean’ ground beef or ‘20%’ fat ground beef? &lt;p class='space'&gt;&lt;p class='space'&gt;Most people would be more likely to choose the first option in both cases, even though the two choices are identical.</t>
  </si>
  <si>
    <t>Escalation of commitment - aka Commitment Bias</t>
  </si>
  <si>
    <t>What can be done to manage these decision-making biases and individual differences?</t>
  </si>
  <si>
    <t xml:space="preserve">&lt;p class='space'&gt;(1) Having access to accurate information sources &lt;p class='space'&gt;(2) Comprehensive strategizing and goal-setting &lt;p class='space'&gt;(3) Seeking dis-confirmation of initial conclusions, and generating further alternatives &lt;p class='space'&gt;(4) Having others review one’s reasoning </t>
  </si>
  <si>
    <t>Group Decisions - Advantages and Disadvantages</t>
  </si>
  <si>
    <t>Disadvantages of group decision making:</t>
  </si>
  <si>
    <r>
      <t>1.</t>
    </r>
    <r>
      <rPr>
        <sz val="24"/>
        <color rgb="FF31859C"/>
        <rFont val="Avenir Roman"/>
      </rPr>
      <t>Pressure for conformity (groupthink)</t>
    </r>
  </si>
  <si>
    <r>
      <t>2.</t>
    </r>
    <r>
      <rPr>
        <sz val="24"/>
        <color rgb="FF31859C"/>
        <rFont val="Avenir Roman"/>
      </rPr>
      <t>Domination by forceful members</t>
    </r>
  </si>
  <si>
    <t>Time and organization requirements</t>
  </si>
  <si>
    <t xml:space="preserve">&lt;p class='space'&gt;Advantages:&lt;p class='space'&gt;(1) More knowledge by pooling member resources &lt;p class='space'&gt;(2) Increased commitment to decisions &lt;p class='space'&gt;(3) Greater understanding of the decision&lt;p class='space'&gt;Disadvantages&lt;p class='space'&gt;(1) Pressure for conformity (groupthink) &lt;p class='space'&gt;(2) Domination by forceful members &lt;p class='space'&gt;(3) Time and organization requirements  </t>
  </si>
  <si>
    <t>Groupthink, what is it?</t>
  </si>
  <si>
    <t>&lt;p class='space'&gt;Escalation of commitment - aka Commitment Bias, is the tendency to continue supporting a decision (or series of decisions) even though it is failing to reach the desired goal.  &lt;p class='space'&gt;Reasons for escalation of commitment from the slides: Cognitive dissonance, optimism, desire for control, low self-esteem, lack of affirmation for other ideas. &lt;p class='space'&gt;Escalation of commitment is a human behavior pattern in which an individual or group facing increasingly negative outcomes from a decision, action, or investment nevertheless continues the behavior instead of altering course.&lt;p class='space'&gt;As a byproduct of confirmation bias, we rarely seek out disconfirming evidence of what we believe. Instead, we tend to interpret evidence in a way that makes our past ideas seem better than they truly were. When we only seek out favorable evidence, it becomes easier to maintain our positive self-image.&lt;p class='space'&gt;Similar to sunk cost fallacy: Individuals commit the sunk cost fallacy when they continue a behavior or endeavor as a result of previously invested resources (time, money or effort) (Arkes &amp; Blumer, 1985). This fallacy, which is related to loss aversion and status quo bias, can also be viewed as bias resulting from an ongoing commitment.</t>
  </si>
  <si>
    <t xml:space="preserve">&lt;p class='space'&gt;Groupthink is the practice of thinking or making decisions as a group in a way that discourages creativity or individual responsibility.&lt;p class='space'&gt;Strong group cohesion will lead to groupthink: &lt;p class='space'&gt;If structural faults exist: insulation, homogeneity of backgrounds, shared mindsets, the group normatively uses directive leadership &lt;p class='space'&gt;If a high pressure context is present: stress from external threats, low self-esteem from recent failures, time pressure, perceptions of task difficulty, important task </t>
  </si>
  <si>
    <t xml:space="preserve">How can groupthink be reduced? </t>
  </si>
  <si>
    <t xml:space="preserve">&lt;p class='space'&gt;Create subgroups, &lt;p class='space'&gt;outside experts, &lt;p class='space'&gt;appoint devil’s advocate, &lt;p class='space'&gt;rethink position once consensus is reached </t>
  </si>
  <si>
    <t>Groupthink notes:</t>
  </si>
  <si>
    <t xml:space="preserve">&lt;p class='space'&gt;Groupthink is not totally accurate:&lt;p class='space'&gt;Group cohesion does not necessarily precede groupthink since…&lt;p class='space'&gt; … directive leadership by itself leads to the restriction of consideration of alternatives&lt;p class='space'&gt; Other variables that influence groupthink: norms, leader power, task characteristics, stage of group development </t>
  </si>
  <si>
    <t>&lt;p class='space'&gt;A heuristic technique is any approach to problem solving or self-discovery that employs a practical method that is not guaranteed to be optimal, perfect or rational, but which is nevertheless sufficient for reaching an immediate, short-term goal.&lt;p class='space'&gt;Where finding an optimal solution is impossible or impractical, heuristic methods can be used to speed up the process of finding a satisfactory solution.</t>
  </si>
  <si>
    <t xml:space="preserve">&lt;p class='space'&gt;Examples that employ heuristics include using:&lt;p class='space'&gt; trial and error&lt;p class='space'&gt; a rule of thumb&lt;p class='space'&gt; an educated guess&lt;p class='space'&gt; an intuitive judgment&lt;p class='space'&gt; a guesstimate&lt;p class='space'&gt; profiling&lt;p class='space'&gt; common sense. </t>
  </si>
  <si>
    <t>Heuristics - Examples:</t>
  </si>
  <si>
    <t>What is Satisficing?</t>
  </si>
  <si>
    <t>HRM360-CH11</t>
  </si>
  <si>
    <t>When group members feel comfortable disagreeing with other group members</t>
  </si>
  <si>
    <t>HRM360-CH11-book</t>
  </si>
  <si>
    <t xml:space="preserve">Intuition </t>
  </si>
  <si>
    <t>Expertice vs tacit knowledge</t>
  </si>
  <si>
    <t>&lt;p class='space'&gt;Selecting the first satisfactory alternative - because costs (time, effort) are too high to optimize the decision&lt;p class='space'&gt;Satisficing is a decision-making strategy that aims for a satisfactory or adequate result, rather than the optimal solution. Instead of putting maximum exertion toward attaining the ideal outcome, satisficing focuses on pragmatic effort when confronted with tasks.&lt;p class='space'&gt;This is because aiming for the optimal solution may necessitate a needless expenditure of time, energy, and resources.</t>
  </si>
  <si>
    <t xml:space="preserve">&lt;p class='space'&gt;Minority dissent </t>
  </si>
  <si>
    <t>&lt;p class='space'&gt;Intuition consists of judgments, insights, or decisions that “come to mind on their own, without explicit awareness of the evoking cues and of course without explicit evaluation of the validity of these cues.”&lt;p class='space'&gt;We all have the ability to use intuition.</t>
  </si>
  <si>
    <t>&lt;p class='space'&gt;Expertise is an individual’s combined explicit knowledge or information that can easily be put into words, and &lt;p class='space'&gt;tacit knowledge or information we gain through experience that is difficult to express and formalize.</t>
  </si>
  <si>
    <t>Electronic brainstorming - aka brainwriting</t>
  </si>
  <si>
    <t>The Delphi technique</t>
  </si>
  <si>
    <t xml:space="preserve"> Decision support systems</t>
  </si>
  <si>
    <t>What is learning?</t>
  </si>
  <si>
    <t>Two ways to initiate learning:</t>
  </si>
  <si>
    <t>Conditioning</t>
  </si>
  <si>
    <t>&lt;p class='space'&gt;(1) A stimulus in the environment cues attention to a behavior&lt;p class='space'&gt;(2) Behavior occurs in response to a stimulus&lt;p class='space'&gt;(3) Outcomes are the consequences of our behavior&lt;p class='space'&gt;Example:&lt;p class='space'&gt;Starts with a stimuli - Boss says get report to me by Friday&lt;p class='space'&gt;Followed by a response - report is delivered by Friday&lt;p class='space'&gt;Then finally an outcome which is the consequence of the behavior - Boss says great job.&lt;p class='space'&gt;Next time you are more likely to get report in on time.</t>
  </si>
  <si>
    <t>&lt;p class='space'&gt;Social learning theory asserts that people observe others, and the reinforcement applied to them for their behavior. Others will be motivated  to model their behavior accordingly if the reinforcement is appealing; &lt;p class='space'&gt;Learning is enhanced when learners have high task-specific self-efficacy (which means they believe they can do something)</t>
  </si>
  <si>
    <t>&lt;p class='space'&gt;Performance management (PM) is a set of processes and managerial behaviors that include:&lt;p class='space'&gt;(1) Defining&lt;p class='space'&gt;(2) Monitoring and evaluate performance &lt;p class='space'&gt;(3) Review Performance&lt;p class='space'&gt;(4) Providing consequences for performance expectations.</t>
  </si>
  <si>
    <t xml:space="preserve">&lt;p class='space'&gt;(1) Task performance: &lt;p class='space'&gt;Work-related tasks/goals (e.g., financial goals, administrative tasks, production, etc.)&lt;p class='space'&gt; (2) Contextual performance: (OCB)&lt;p class='space'&gt;Support the social environment (e.g., helping, cooperating, providing social support) – (organizational citizenship behavior) </t>
  </si>
  <si>
    <t>&lt;p class='space'&gt;Learning is a relatively enduring change&lt;p class='space'&gt;Learning is a relatively permanent change in behavior acquired through practice or experience&lt;p class='space'&gt; Learning is taking and linking different concepts together&lt;p class='space'&gt;</t>
  </si>
  <si>
    <t>Setting goals together -</t>
  </si>
  <si>
    <t>&lt;p class='space'&gt;Smart - an acronym for: &lt;p class='space'&gt;Specific&lt;p class='space'&gt;Measurable&lt;p class='space'&gt;Attainable&lt;p class='space'&gt;Results oriented/Relevant&lt;p class='space'&gt;Time bound</t>
  </si>
  <si>
    <t>&lt;p class='space'&gt;Get you to stop doing something&lt;p class='space'&gt;Discourage undesirable behaviors by giving negative consequences or withholding positive consequences</t>
  </si>
  <si>
    <t xml:space="preserve">&lt;p class='space'&gt;(1) Give knowledge that leads to change&lt;p class='space'&gt;(2) Alter consequences of behavior </t>
  </si>
  <si>
    <t>&lt;p class='space'&gt; Operant conditioning, (used by organizations) instrumental conditioning. a process of changing behavior by rewarding or punishing a subject each time an action is performed until the subject associates the action with pleasure or distress.&lt;p class='space'&gt;Classical conditioning, Pavlovian conditioning, respondent conditioning. a process in which a stimulus that was previously neutral, as the sound of a bell, comes to evoke a particular response, as salivation, by being repeatedly paired with another stimulus that normally evokes the response, as the taste of food.</t>
  </si>
  <si>
    <t>&lt;p class='space'&gt;Will more likely develop more difficult goals.</t>
  </si>
  <si>
    <t>Commitment to goals can be enhanced by two things:</t>
  </si>
  <si>
    <t>&lt;p class='space'&gt;Makes you keep doing something&lt;p class='space'&gt;Enhances desirable behavior by giving positive consequences, or withholding negative ones&lt;p class='space'&gt;Positive reinforcers - thanking employee - pay increases - promotion&lt;p class='space'&gt;Negative reinforcers -  remove probationary period, removal a negative situation - reassign</t>
  </si>
  <si>
    <t>&lt;p class='space'&gt;Weakening a behavior by ignoring it or making sure it is not reinforced is referred to as extinction&lt;p class='space'&gt;Attaching no consequence to an undesired behavior; this may be the most effective when used alongside positive reinforcement (for desired behaviors)&lt;p class='space'&gt;Only works if the behavior isn't intrinsically enjoyable to them (if so punishment will be required.)</t>
  </si>
  <si>
    <t xml:space="preserve">&lt;p class='space'&gt;Norming: Roles/responsibilities become clear and consensually accepted&lt;p class='space'&gt;Agreement and consensus&lt;p class='space'&gt;Clear roles and responsibilities&lt;p class='space'&gt;(Facilitation) </t>
  </si>
  <si>
    <t>&lt;p class='space'&gt;When making decisions, people are limited by their cognitive ability and group processes &lt;p class='space'&gt;The bounded rationality model recognizes that most people/groups make decisions by constructing simplified models that extract the essential features from problems without capturing all their complexity&lt;p class='space'&gt;Bounded rationality is the idea that we make decisions that are rational, but within the limits of the information available to us and our mental capabilities.&lt;p class='space'&gt;Economists who think of us as ‘boundedly rational’ don’t see us as an ‘economic superman’, or homo economics that spends his life optimizing the happiness created by every decision. &lt;p class='space'&gt;Instead, they see us as satisficers — as people who choose the option that will satisfy their needs and wants without putting too much effort into making sure they’ve considering every single possibility.</t>
  </si>
  <si>
    <t>Heuristics and biases:</t>
  </si>
  <si>
    <t>&lt;p class='space'&gt;Electronic brainstorming, sometimes called brainwriting, allows participants to submit their ideas and alternatives over a computer network. Webinars work well for this purpose.</t>
  </si>
  <si>
    <t>&lt;p class='space'&gt;The Delphi technique is a group process that generates anonymous ideas or judgments from physically dispersed experts in multiple rounds of brainstorming.</t>
  </si>
  <si>
    <t>&lt;p class='space'&gt;Decision support systems (DSS) are “computer-based interactive systems that help decision makers to use data and models to solve unstructured problems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</si>
</sst>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Calibri"/>
      <family val="2"/>
      <scheme val="minor"/>
    </font>
    <font>
      <b/>
      <sz val="11"/>
      <color theme="1"/>
      <name val="Calibri"/>
      <family val="2"/>
      <scheme val="minor"/>
    </font>
    <font>
      <sz val="11"/>
      <color theme="1"/>
      <name val="Calibri"/>
      <family val="2"/>
    </font>
    <font>
      <u/>
      <sz val="11"/>
      <color theme="1"/>
      <name val="Calibri"/>
      <family val="2"/>
    </font>
    <font>
      <u/>
      <sz val="11"/>
      <color theme="1"/>
      <name val="Calibri"/>
      <family val="2"/>
      <scheme val="minor"/>
    </font>
    <font>
      <i/>
      <sz val="11"/>
      <color theme="1"/>
      <name val="Calibri"/>
      <family val="2"/>
      <scheme val="minor"/>
    </font>
    <font>
      <sz val="8"/>
      <color theme="1"/>
      <name val="Calibri"/>
      <family val="2"/>
    </font>
    <font>
      <sz val="12"/>
      <color theme="1"/>
      <name val="Times New Roman"/>
      <family val="1"/>
    </font>
    <font>
      <sz val="24"/>
      <color rgb="FF31859C"/>
      <name val="Avenir Roman"/>
    </font>
    <font>
      <sz val="24"/>
      <color rgb="FF31859C"/>
      <name val="Wingdings"/>
      <charset val="2"/>
    </font>
    <font>
      <sz val="28"/>
      <color rgb="FF31859C"/>
      <name val="Avenir Roman"/>
    </font>
  </fonts>
  <fills count="2">
    <fill>
      <patternFill patternType="none"/>
    </fill>
    <fill>
      <patternFill patternType="gray125"/>
    </fill>
  </fills>
  <borders count="1">
    <border>
      <left/>
      <right/>
      <top/>
      <bottom/>
      <diagonal/>
    </border>
  </borders>
  <cellStyleXfs count="1">
    <xf numFmtId="0" fontId="0" fillId="0" borderId="0"/>
  </cellStyleXfs>
  <cellXfs count="15">
    <xf numFmtId="0" fontId="0" fillId="0" borderId="0" xfId="0"/>
    <xf numFmtId="0" fontId="4" fillId="0" borderId="0" xfId="0" applyFont="1"/>
    <xf numFmtId="0" fontId="2" fillId="0" borderId="0" xfId="0" applyFont="1" applyAlignment="1">
      <alignment horizontal="left" vertical="top"/>
    </xf>
    <xf numFmtId="0" fontId="0" fillId="0" borderId="0" xfId="0" applyAlignment="1">
      <alignment horizontal="left" vertical="top"/>
    </xf>
    <xf numFmtId="0" fontId="3" fillId="0" borderId="0" xfId="0" applyFont="1" applyAlignment="1">
      <alignment horizontal="left" vertical="top"/>
    </xf>
    <xf numFmtId="0" fontId="0" fillId="0" borderId="0" xfId="0" applyAlignment="1">
      <alignment horizontal="left" vertical="top" wrapText="1"/>
    </xf>
    <xf numFmtId="0" fontId="4" fillId="0" borderId="0" xfId="0" applyFont="1" applyAlignment="1">
      <alignment horizontal="left" vertical="top"/>
    </xf>
    <xf numFmtId="0" fontId="2" fillId="0" borderId="0" xfId="0" applyFont="1" applyAlignment="1">
      <alignment horizontal="left"/>
    </xf>
    <xf numFmtId="0" fontId="1" fillId="0" borderId="0" xfId="0" applyFont="1" applyAlignment="1">
      <alignment horizontal="left" vertical="top"/>
    </xf>
    <xf numFmtId="0" fontId="6" fillId="0" borderId="0" xfId="0" applyFont="1" applyAlignment="1">
      <alignment horizontal="left" vertical="top" indent="2"/>
    </xf>
    <xf numFmtId="0" fontId="7" fillId="0" borderId="0" xfId="0" applyFont="1"/>
    <xf numFmtId="0" fontId="0" fillId="0" borderId="0" xfId="0" applyAlignment="1">
      <alignment wrapText="1"/>
    </xf>
    <xf numFmtId="0" fontId="9" fillId="0" borderId="0" xfId="0" applyFont="1" applyAlignment="1">
      <alignment horizontal="left" vertical="center" indent="10" readingOrder="1"/>
    </xf>
    <xf numFmtId="0" fontId="10" fillId="0" borderId="0" xfId="0" applyFont="1" applyAlignment="1">
      <alignment horizontal="left" vertical="center" indent="4" readingOrder="1"/>
    </xf>
    <xf numFmtId="0" fontId="8"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6C0ED-EDEA-4A29-8961-6F8AA3BECBE6}">
  <sheetPr codeName="Sheet1"/>
  <dimension ref="A1:D12"/>
  <sheetViews>
    <sheetView workbookViewId="0">
      <selection activeCell="C2" sqref="C2"/>
    </sheetView>
  </sheetViews>
  <sheetFormatPr defaultRowHeight="15"/>
  <cols>
    <col min="3" max="3" width="28" bestFit="1" customWidth="1"/>
    <col min="4" max="4" width="101.85546875" customWidth="1"/>
  </cols>
  <sheetData>
    <row r="1" spans="1:4">
      <c r="A1" t="s">
        <v>0</v>
      </c>
      <c r="B1" t="s">
        <v>2</v>
      </c>
      <c r="C1" t="s">
        <v>3</v>
      </c>
      <c r="D1" t="s">
        <v>6</v>
      </c>
    </row>
    <row r="2" spans="1:4">
      <c r="A2" t="s">
        <v>1</v>
      </c>
      <c r="B2" t="s">
        <v>5</v>
      </c>
      <c r="C2" t="s">
        <v>4</v>
      </c>
      <c r="D2" t="s">
        <v>7</v>
      </c>
    </row>
    <row r="3" spans="1:4">
      <c r="D3" t="s">
        <v>8</v>
      </c>
    </row>
    <row r="4" spans="1:4">
      <c r="D4" t="s">
        <v>9</v>
      </c>
    </row>
    <row r="5" spans="1:4">
      <c r="D5" t="s">
        <v>10</v>
      </c>
    </row>
    <row r="6" spans="1:4">
      <c r="D6" t="s">
        <v>11</v>
      </c>
    </row>
    <row r="7" spans="1:4">
      <c r="D7" t="s">
        <v>12</v>
      </c>
    </row>
    <row r="8" spans="1:4">
      <c r="D8" t="s">
        <v>13</v>
      </c>
    </row>
    <row r="9" spans="1:4">
      <c r="D9" t="s">
        <v>14</v>
      </c>
    </row>
    <row r="10" spans="1:4">
      <c r="D10" t="s">
        <v>15</v>
      </c>
    </row>
    <row r="11" spans="1:4">
      <c r="D11" t="s">
        <v>16</v>
      </c>
    </row>
    <row r="12" spans="1:4">
      <c r="D12"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F4FD8-C3C9-45D2-BF42-18E63083325B}">
  <sheetPr codeName="Sheet2"/>
  <dimension ref="A1:D2"/>
  <sheetViews>
    <sheetView workbookViewId="0">
      <selection sqref="A1:D1"/>
    </sheetView>
  </sheetViews>
  <sheetFormatPr defaultRowHeight="15"/>
  <cols>
    <col min="3" max="3" width="35.140625" customWidth="1"/>
  </cols>
  <sheetData>
    <row r="1" spans="1:4">
      <c r="A1" t="s">
        <v>0</v>
      </c>
      <c r="B1" t="s">
        <v>2</v>
      </c>
      <c r="C1" t="s">
        <v>3</v>
      </c>
      <c r="D1" t="s">
        <v>6</v>
      </c>
    </row>
    <row r="2" spans="1:4">
      <c r="A2" t="s">
        <v>1</v>
      </c>
      <c r="B2" t="s">
        <v>5</v>
      </c>
      <c r="C2" t="s">
        <v>18</v>
      </c>
      <c r="D2" t="s">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E1B5-40B9-41A3-B508-97082DF023ED}">
  <sheetPr codeName="Sheet3"/>
  <dimension ref="A1:D290"/>
  <sheetViews>
    <sheetView tabSelected="1" zoomScale="78" zoomScaleNormal="78" workbookViewId="0">
      <pane ySplit="1" topLeftCell="A220" activePane="bottomLeft" state="frozen"/>
      <selection pane="bottomLeft" activeCell="B220" sqref="B220"/>
    </sheetView>
  </sheetViews>
  <sheetFormatPr defaultRowHeight="15"/>
  <cols>
    <col min="1" max="1" width="61.28515625" style="3" customWidth="1"/>
    <col min="2" max="2" width="68" style="5" customWidth="1"/>
    <col min="3" max="3" width="21.28515625" style="3" customWidth="1"/>
    <col min="4" max="4" width="43.28515625" style="3" customWidth="1"/>
    <col min="5" max="16384" width="9.140625" style="3"/>
  </cols>
  <sheetData>
    <row r="1" spans="1:4">
      <c r="A1" s="2" t="s">
        <v>77</v>
      </c>
      <c r="B1" s="5" t="s">
        <v>129</v>
      </c>
      <c r="C1" s="3" t="s">
        <v>78</v>
      </c>
      <c r="D1" s="3" t="s">
        <v>119</v>
      </c>
    </row>
    <row r="2" spans="1:4" ht="30">
      <c r="A2" s="3" t="s">
        <v>67</v>
      </c>
      <c r="B2" s="5" t="s">
        <v>197</v>
      </c>
      <c r="C2" s="3" t="s">
        <v>1010</v>
      </c>
      <c r="D2" s="3" t="str">
        <f>"[`" &amp; A2 &amp; "`,``,``,``,``, ``,`"  &amp; B2 &amp; "`, `" &amp; C2 &amp; "`]" &amp; IF(C3&lt;&gt;"",",","")</f>
        <v>[`What is Organizational behavior?`,``,``,``,``, ``,`&lt;p class='space'&gt;the study of individual behavior and group dynamics in organizations`, `HRM360-CH01`],</v>
      </c>
    </row>
    <row r="3" spans="1:4" ht="120">
      <c r="A3" s="3" t="s">
        <v>68</v>
      </c>
      <c r="B3" s="5" t="s">
        <v>198</v>
      </c>
      <c r="C3" s="3" t="s">
        <v>1010</v>
      </c>
      <c r="D3" s="3" t="str">
        <f>"[`" &amp; A3 &amp; "`,``,``,``,``, ``,`"  &amp; B3 &amp; "`, `" &amp; C3 &amp; "`]" &amp; IF(C4&lt;&gt;"",",","")</f>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`HRM360-CH01`],</v>
      </c>
    </row>
    <row r="4" spans="1:4" ht="30">
      <c r="A4" s="3" t="s">
        <v>120</v>
      </c>
      <c r="B4" s="5" t="s">
        <v>215</v>
      </c>
      <c r="C4" s="3" t="s">
        <v>1010</v>
      </c>
      <c r="D4" s="3" t="str">
        <f>"[`" &amp; A4 &amp; "`,``,``,``,``, ``,`"  &amp; B4 &amp; "`, `" &amp; C4 &amp; "`]" &amp; IF(C5&lt;&gt;"",",","")</f>
        <v>[`The importance of technical skill verses personal skills changes over one's career. How? PP ch1 slide 6`,``,``,``,``, ``,`&lt;p class='space'&gt;Initially technical skills are of the greatest importance, but eventually personal skills become more important.`, `HRM360-CH01`],</v>
      </c>
    </row>
    <row r="5" spans="1:4" ht="105">
      <c r="A5" s="3" t="s">
        <v>121</v>
      </c>
      <c r="B5" s="5" t="s">
        <v>216</v>
      </c>
      <c r="C5" s="3" t="s">
        <v>1010</v>
      </c>
      <c r="D5" s="3" t="str">
        <f>"[`" &amp; A5 &amp; "`,``,``,``,``, ``,`"  &amp; B5 &amp; "`, `" &amp; C5 &amp; "`]" &amp; IF(C6&lt;&gt;"",",","")</f>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`HRM360-CH01`],</v>
      </c>
    </row>
    <row r="6" spans="1:4" ht="60">
      <c r="A6" s="3" t="s">
        <v>122</v>
      </c>
      <c r="B6" s="5" t="s">
        <v>217</v>
      </c>
      <c r="C6" s="3" t="s">
        <v>1010</v>
      </c>
      <c r="D6" s="3" t="str">
        <f>"[`" &amp; A6 &amp; "`,``,``,``,``, ``,`"  &amp; B6 &amp; "`, `" &amp; C6 &amp; "`]" &amp; IF(C7&lt;&gt;"",",","")</f>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`HRM360-CH01`],</v>
      </c>
    </row>
    <row r="7" spans="1:4" ht="60">
      <c r="A7" s="3" t="s">
        <v>123</v>
      </c>
      <c r="B7" s="5" t="s">
        <v>218</v>
      </c>
      <c r="C7" s="3" t="s">
        <v>1010</v>
      </c>
      <c r="D7" s="3" t="str">
        <f>"[`" &amp; A7 &amp; "`,``,``,``,``, ``,`"  &amp; B7 &amp; "`, `" &amp; C7 &amp; "`]" &amp; IF(C8&lt;&gt;"",",","")</f>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`HRM360-CH01`],</v>
      </c>
    </row>
    <row r="8" spans="1:4" ht="45">
      <c r="A8" s="5" t="s">
        <v>127</v>
      </c>
      <c r="B8" s="5" t="s">
        <v>219</v>
      </c>
      <c r="C8" s="3" t="s">
        <v>1010</v>
      </c>
      <c r="D8" s="3" t="str">
        <f>"[`" &amp; A8 &amp; "`,``,``,``,``, ``,`"  &amp; B8 &amp; "`, `" &amp; C8 &amp; "`]" &amp; IF(C9&lt;&gt;"",",","")</f>
        <v>[`Two Sides of Organizations - Formal organization   `,``,``,``,``, ``,`&lt;p class='space'&gt;Formal organization   (overt) Goals and objectives  Policies and procedures  Job descriptions  Financial resources  Authority structure  Communication channels  Products and services`, `HRM360-CH01`],</v>
      </c>
    </row>
    <row r="9" spans="1:4" ht="45">
      <c r="A9" s="5" t="s">
        <v>128</v>
      </c>
      <c r="B9" s="5" t="s">
        <v>220</v>
      </c>
      <c r="C9" s="3" t="s">
        <v>1010</v>
      </c>
      <c r="D9" s="3" t="str">
        <f>"[`" &amp; A9 &amp; "`,``,``,``,``, ``,`"  &amp; B9 &amp; "`, `" &amp; C9 &amp; "`]" &amp; IF(C10&lt;&gt;"",",","")</f>
        <v>[`Two Sides of Organizations - Informal organization   `,``,``,``,``, ``,`&lt;p class='space'&gt;Informal organization   (human side) (covert) Beliefs and assumptions   Perceptions and attitudes, values, feelings, such as fear, joy  anger, trust, and hope, group norms, informal leaders`, `HRM360-CH01`],</v>
      </c>
    </row>
    <row r="10" spans="1:4" ht="45">
      <c r="A10" s="3" t="s">
        <v>124</v>
      </c>
      <c r="B10" s="5" t="s">
        <v>221</v>
      </c>
      <c r="C10" s="3" t="s">
        <v>1010</v>
      </c>
      <c r="D10" s="3" t="str">
        <f>"[`" &amp; A10 &amp; "`,``,``,``,``, ``,`"  &amp; B10 &amp; "`, `" &amp; C10 &amp; "`]" &amp; IF(C11&lt;&gt;"",",","")</f>
        <v>[`Hawthorne Effect - lecture notes`,``,``,``,``, ``,`&lt;p class='space'&gt;The Hawthorne effect (also referred to as the observer effect) is a type of reactivity in which individuals modify an aspect of their behavior in response to their awareness of being observed.`, `HRM360-CH01`],</v>
      </c>
    </row>
    <row r="11" spans="1:4" ht="105">
      <c r="A11" s="3" t="s">
        <v>125</v>
      </c>
      <c r="B11" s="5" t="s">
        <v>222</v>
      </c>
      <c r="C11" s="3" t="s">
        <v>1010</v>
      </c>
      <c r="D11" s="3" t="str">
        <f>"[`" &amp; A11 &amp; "`,``,``,``,``, ``,`"  &amp; B11 &amp; "`, `" &amp; C11 &amp; "`]" &amp; IF(C12&lt;&gt;"",",","")</f>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`HRM360-CH01`],</v>
      </c>
    </row>
    <row r="12" spans="1:4" ht="60">
      <c r="A12" s="3" t="s">
        <v>126</v>
      </c>
      <c r="B12" s="5" t="s">
        <v>223</v>
      </c>
      <c r="C12" s="3" t="s">
        <v>1010</v>
      </c>
      <c r="D12" s="3" t="str">
        <f>"[`" &amp; A12 &amp; "`,``,``,``,``, ``,`"  &amp; B12 &amp; "`, `" &amp; C12 &amp; "`]" &amp; IF(C13&lt;&gt;"",",","")</f>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`HRM360-CH01`],</v>
      </c>
    </row>
    <row r="13" spans="1:4" ht="90">
      <c r="A13" s="3" t="s">
        <v>130</v>
      </c>
      <c r="B13" s="5" t="s">
        <v>224</v>
      </c>
      <c r="C13" s="3" t="s">
        <v>1010</v>
      </c>
      <c r="D13" s="3" t="str">
        <f>"[`" &amp; A13 &amp; "`,``,``,``,``, ``,`"  &amp; B13 &amp; "`, `" &amp; C13 &amp; "`]" &amp; IF(C14&lt;&gt;"",",","")</f>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`HRM360-CH01`],</v>
      </c>
    </row>
    <row r="14" spans="1:4" ht="60">
      <c r="A14" s="3" t="s">
        <v>132</v>
      </c>
      <c r="B14" s="5" t="s">
        <v>141</v>
      </c>
      <c r="C14" s="3" t="s">
        <v>1010</v>
      </c>
      <c r="D14" s="3" t="str">
        <f>"[`" &amp; A14 &amp; "`,``,``,``,``, ``,`"  &amp; B14 &amp; "`, `" &amp; C14 &amp; "`]" &amp; IF(C15&lt;&gt;"",",","")</f>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`HRM360-CH01`],</v>
      </c>
    </row>
    <row r="15" spans="1:4" ht="60">
      <c r="A15" s="3" t="s">
        <v>133</v>
      </c>
      <c r="B15" s="5" t="s">
        <v>225</v>
      </c>
      <c r="C15" s="3" t="s">
        <v>1010</v>
      </c>
      <c r="D15" s="3" t="str">
        <f>"[`" &amp; A15 &amp; "`,``,``,``,``, ``,`"  &amp; B15 &amp; "`, `" &amp; C15 &amp; "`]" &amp; IF(C16&lt;&gt;"",",","")</f>
        <v>[`Ethics guides`,``,``,``,``, ``,`&lt;p class='space'&gt;behavior by identifying right, wrong, and the many shades of gray in between.&lt;p class='space'&gt;Unethical Does Not Mean Illegal - very few unethical acts are also illegal, most are not punished in any way, and even if illegal, few are prosecuted.`, `HRM360-CH01`],</v>
      </c>
    </row>
    <row r="16" spans="1:4" ht="120">
      <c r="A16" s="3" t="s">
        <v>134</v>
      </c>
      <c r="B16" s="5" t="s">
        <v>226</v>
      </c>
      <c r="C16" s="3" t="s">
        <v>1010</v>
      </c>
      <c r="D16" s="3" t="str">
        <f>"[`" &amp; A16 &amp; "`,``,``,``,``, ``,`"  &amp; B16 &amp; "`, `" &amp; C16 &amp; "`]" &amp; IF(C17&lt;&gt;"",",","")</f>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`HRM360-CH01`],</v>
      </c>
    </row>
    <row r="17" spans="1:4" ht="90">
      <c r="A17" s="3" t="s">
        <v>135</v>
      </c>
      <c r="B17" s="5" t="s">
        <v>227</v>
      </c>
      <c r="C17" s="3" t="s">
        <v>1010</v>
      </c>
      <c r="D17" s="3" t="str">
        <f>"[`" &amp; A17 &amp; "`,``,``,``,``, ``,`"  &amp; B17 &amp; "`, `" &amp; C17 &amp; "`]" &amp; IF(C18&lt;&gt;"",",","")</f>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`HRM360-CH01`],</v>
      </c>
    </row>
    <row r="18" spans="1:4" ht="75">
      <c r="A18" s="3" t="s">
        <v>136</v>
      </c>
      <c r="B18" s="5" t="s">
        <v>196</v>
      </c>
      <c r="C18" s="3" t="s">
        <v>1010</v>
      </c>
      <c r="D18" s="3" t="str">
        <f>"[`" &amp; A18 &amp; "`,``,``,``,``, ``,`"  &amp; B18 &amp; "`, `" &amp; C18 &amp; "`]" &amp; IF(C19&lt;&gt;"",",","")</f>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`HRM360-CH01`],</v>
      </c>
    </row>
    <row r="19" spans="1:4" ht="120">
      <c r="A19" s="3" t="s">
        <v>137</v>
      </c>
      <c r="B19" s="5" t="s">
        <v>140</v>
      </c>
      <c r="C19" s="3" t="s">
        <v>1010</v>
      </c>
      <c r="D19" s="3" t="str">
        <f>"[`" &amp; A19 &amp; "`,``,``,``,``, ``,`"  &amp; B19 &amp; "`, `" &amp; C19 &amp; "`]" &amp; IF(C20&lt;&gt;"",",","")</f>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`HRM360-CH01`],</v>
      </c>
    </row>
    <row r="20" spans="1:4" ht="135">
      <c r="A20" s="3" t="s">
        <v>138</v>
      </c>
      <c r="B20" s="5" t="s">
        <v>263</v>
      </c>
      <c r="C20" s="3" t="s">
        <v>1010</v>
      </c>
      <c r="D20" s="3" t="str">
        <f>"[`" &amp; A20 &amp; "`,``,``,``,``, ``,`"  &amp; B20 &amp; "`, `" &amp; C20 &amp; "`]" &amp; IF(C21&lt;&gt;"",",","")</f>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`HRM360-CH01`],</v>
      </c>
    </row>
    <row r="21" spans="1:4" ht="105">
      <c r="A21" s="3" t="s">
        <v>139</v>
      </c>
      <c r="B21" s="5" t="s">
        <v>228</v>
      </c>
      <c r="C21" s="3" t="s">
        <v>1010</v>
      </c>
      <c r="D21" s="3" t="str">
        <f>"[`" &amp; A21 &amp; "`,``,``,``,``, ``,`"  &amp; B21 &amp; "`, `" &amp; C21 &amp; "`]" &amp; IF(C22&lt;&gt;"",",","")</f>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`HRM360-CH01`],</v>
      </c>
    </row>
    <row r="22" spans="1:4" ht="180">
      <c r="A22" s="3" t="s">
        <v>193</v>
      </c>
      <c r="B22" s="5" t="s">
        <v>264</v>
      </c>
      <c r="C22" s="3" t="s">
        <v>1010</v>
      </c>
      <c r="D22" s="3" t="str">
        <f>"[`" &amp; A22 &amp; "`,``,``,``,``, ``,`"  &amp; B22 &amp; "`, `" &amp; C22 &amp; "`]" &amp; IF(C23&lt;&gt;"",",","")</f>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`HRM360-CH01`],</v>
      </c>
    </row>
    <row r="23" spans="1:4" ht="270">
      <c r="A23" s="3" t="s">
        <v>142</v>
      </c>
      <c r="B23" s="5" t="s">
        <v>229</v>
      </c>
      <c r="C23" s="3" t="s">
        <v>1011</v>
      </c>
      <c r="D23" s="3" t="str">
        <f>"[`" &amp; A23 &amp; "`,``,``,``,``, ``,`"  &amp; B23 &amp; "`, `" &amp; C23 &amp; "`]" &amp; IF(C24&lt;&gt;"",",","")</f>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`HRM360-CH02`],</v>
      </c>
    </row>
    <row r="24" spans="1:4" ht="45">
      <c r="A24" s="3" t="s">
        <v>143</v>
      </c>
      <c r="B24" s="5" t="s">
        <v>327</v>
      </c>
      <c r="C24" s="3" t="s">
        <v>1011</v>
      </c>
      <c r="D24" s="3" t="str">
        <f>"[`" &amp; A24 &amp; "`,``,``,``,``, ``,`"  &amp; B24 &amp; "`, `" &amp; C24 &amp; "`]" &amp; IF(C25&lt;&gt;"",",","")</f>
        <v>[`Values are shaped by?`,``,``,``,``, ``,`&lt;p class='space'&gt;a combination of nature (e.g., genetics) and nurture (e.g., upbringing, experiences) , making them unique from each&lt;p class='space'&gt;values are NOT the same as personality`, `HRM360-CH02`],</v>
      </c>
    </row>
    <row r="25" spans="1:4" ht="75">
      <c r="A25" s="3" t="s">
        <v>144</v>
      </c>
      <c r="B25" s="5" t="s">
        <v>230</v>
      </c>
      <c r="C25" s="3" t="s">
        <v>1011</v>
      </c>
      <c r="D25" s="3" t="str">
        <f>"[`" &amp; A25 &amp; "`,``,``,``,``, ``,`"  &amp; B25 &amp; "`, `" &amp; C25 &amp; "`]" &amp; IF(C26&lt;&gt;"",",","")</f>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`HRM360-CH02`],</v>
      </c>
    </row>
    <row r="26" spans="1:4" ht="45">
      <c r="A26" s="3" t="s">
        <v>145</v>
      </c>
      <c r="B26" s="5" t="s">
        <v>231</v>
      </c>
      <c r="C26" s="3" t="s">
        <v>1011</v>
      </c>
      <c r="D26" s="3" t="str">
        <f>"[`" &amp; A26 &amp; "`,``,``,``,``, ``,`"  &amp; B26 &amp; "`, `" &amp; C26 &amp; "`]" &amp; IF(C27&lt;&gt;"",",","")</f>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`HRM360-CH02`],</v>
      </c>
    </row>
    <row r="27" spans="1:4" ht="45">
      <c r="A27" s="5" t="s">
        <v>146</v>
      </c>
      <c r="B27" s="5" t="s">
        <v>232</v>
      </c>
      <c r="C27" s="3" t="s">
        <v>1011</v>
      </c>
      <c r="D27" s="3" t="str">
        <f>"[`" &amp; A27 &amp; "`,``,``,``,``, ``,`"  &amp; B27 &amp; "`, `" &amp; C27 &amp; "`]" &amp; IF(C28&lt;&gt;"",",","")</f>
        <v>[`Values - There are three general approaches:`,``,``,``,``, ``,`&lt;p class='space'&gt;Provide opportunities to fulfill values&lt;p class='space'&gt;Find people’s with matching values&lt;p class='space'&gt;Develop new values in our workers`, `HRM360-CH02`],</v>
      </c>
    </row>
    <row r="28" spans="1:4" ht="75">
      <c r="A28" s="3" t="s">
        <v>147</v>
      </c>
      <c r="B28" s="5" t="s">
        <v>233</v>
      </c>
      <c r="C28" s="3" t="s">
        <v>1011</v>
      </c>
      <c r="D28" s="3" t="str">
        <f>"[`" &amp; A28 &amp; "`,``,``,``,``, ``,`"  &amp; B28 &amp; "`, `" &amp; C28 &amp; "`]" &amp; IF(C29&lt;&gt;"",",","")</f>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`HRM360-CH02`],</v>
      </c>
    </row>
    <row r="29" spans="1:4" ht="120">
      <c r="A29" s="3" t="s">
        <v>194</v>
      </c>
      <c r="B29" s="5" t="s">
        <v>234</v>
      </c>
      <c r="C29" s="3" t="s">
        <v>1011</v>
      </c>
      <c r="D29" s="3" t="str">
        <f>"[`" &amp; A29 &amp; "`,``,``,``,``, ``,`"  &amp; B29 &amp; "`, `" &amp; C29 &amp; "`]" &amp; IF(C30&lt;&gt;"",",","")</f>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`HRM360-CH02`],</v>
      </c>
    </row>
    <row r="30" spans="1:4" ht="90">
      <c r="A30" s="3" t="s">
        <v>148</v>
      </c>
      <c r="B30" s="5" t="s">
        <v>235</v>
      </c>
      <c r="C30" s="3" t="s">
        <v>1011</v>
      </c>
      <c r="D30" s="3" t="str">
        <f>"[`" &amp; A30 &amp; "`,``,``,``,``, ``,`"  &amp; B30 &amp; "`, `" &amp; C30 &amp; "`]" &amp; IF(C31&lt;&gt;"",",","")</f>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`HRM360-CH02`],</v>
      </c>
    </row>
    <row r="31" spans="1:4" ht="60">
      <c r="A31" s="3" t="s">
        <v>149</v>
      </c>
      <c r="B31" s="5" t="s">
        <v>236</v>
      </c>
      <c r="C31" s="3" t="s">
        <v>1011</v>
      </c>
      <c r="D31" s="3" t="str">
        <f>"[`" &amp; A31 &amp; "`,``,``,``,``, ``,`"  &amp; B31 &amp; "`, `" &amp; C31 &amp; "`]" &amp; IF(C32&lt;&gt;"",",","")</f>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`HRM360-CH02`],</v>
      </c>
    </row>
    <row r="32" spans="1:4" ht="225">
      <c r="A32" s="3" t="s">
        <v>150</v>
      </c>
      <c r="B32" s="5" t="s">
        <v>265</v>
      </c>
      <c r="C32" s="3" t="s">
        <v>1011</v>
      </c>
      <c r="D32" s="3" t="str">
        <f>"[`" &amp; A32 &amp; "`,``,``,``,``, ``,`"  &amp; B32 &amp; "`, `" &amp; C32 &amp; "`]" &amp; IF(C33&lt;&gt;"",",","")</f>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`HRM360-CH02`],</v>
      </c>
    </row>
    <row r="33" spans="1:4" ht="45">
      <c r="A33" s="3" t="s">
        <v>151</v>
      </c>
      <c r="B33" s="5" t="s">
        <v>237</v>
      </c>
      <c r="C33" s="3" t="s">
        <v>1011</v>
      </c>
      <c r="D33" s="3" t="str">
        <f>"[`" &amp; A33 &amp; "`,``,``,``,``, ``,`"  &amp; B33 &amp; "`, `" &amp; C33 &amp; "`]" &amp; IF(C34&lt;&gt;"",",","")</f>
        <v>[`Job satisfaction`,``,``,``,``, ``,`&lt;p class='space'&gt;Job satisfaction is a positive emotional state resulting from one’s appraisal or evaluation of his or her job, and the parts of that job, and has ramifications for many types of employee behavior `, `HRM360-CH02`],</v>
      </c>
    </row>
    <row r="34" spans="1:4" ht="75">
      <c r="A34" s="3" t="s">
        <v>152</v>
      </c>
      <c r="B34" s="5" t="s">
        <v>238</v>
      </c>
      <c r="C34" s="3" t="s">
        <v>1011</v>
      </c>
      <c r="D34" s="3" t="str">
        <f>"[`" &amp; A34 &amp; "`,``,``,``,``, ``,`"  &amp; B34 &amp; "`, `" &amp; C34 &amp; "`]" &amp; IF(C35&lt;&gt;"",",","")</f>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`HRM360-CH02`],</v>
      </c>
    </row>
    <row r="35" spans="1:4" ht="75">
      <c r="A35" s="3" t="s">
        <v>152</v>
      </c>
      <c r="B35" s="5" t="s">
        <v>239</v>
      </c>
      <c r="C35" s="3" t="s">
        <v>1011</v>
      </c>
      <c r="D35" s="3" t="str">
        <f>"[`" &amp; A35 &amp; "`,``,``,``,``, ``,`"  &amp; B35 &amp; "`, `" &amp; C35 &amp; "`]" &amp; IF(C36&lt;&gt;"",",","")</f>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`HRM360-CH02`],</v>
      </c>
    </row>
    <row r="36" spans="1:4" ht="60">
      <c r="A36" s="3" t="s">
        <v>266</v>
      </c>
      <c r="B36" s="5" t="s">
        <v>268</v>
      </c>
      <c r="C36" s="3" t="s">
        <v>1011</v>
      </c>
      <c r="D36" s="3" t="str">
        <f>"[`" &amp; A36 &amp; "`,``,``,``,``, ``,`"  &amp; B36 &amp; "`, `" &amp; C36 &amp; "`]" &amp; IF(C37&lt;&gt;"",",","")</f>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`HRM360-CH02`],</v>
      </c>
    </row>
    <row r="37" spans="1:4" ht="75">
      <c r="A37" s="3" t="s">
        <v>153</v>
      </c>
      <c r="B37" s="5" t="s">
        <v>240</v>
      </c>
      <c r="C37" s="3" t="s">
        <v>1011</v>
      </c>
      <c r="D37" s="3" t="str">
        <f>"[`" &amp; A37 &amp; "`,``,``,``,``, ``,`"  &amp; B37 &amp; "`, `" &amp; C37 &amp; "`]" &amp; IF(C38&lt;&gt;"",",","")</f>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`HRM360-CH02`],</v>
      </c>
    </row>
    <row r="38" spans="1:4" ht="90">
      <c r="A38" s="3" t="s">
        <v>154</v>
      </c>
      <c r="B38" s="5" t="s">
        <v>241</v>
      </c>
      <c r="C38" s="3" t="s">
        <v>1011</v>
      </c>
      <c r="D38" s="3" t="str">
        <f>"[`" &amp; A38 &amp; "`,``,``,``,``, ``,`"  &amp; B38 &amp; "`, `" &amp; C38 &amp; "`]" &amp; IF(C39&lt;&gt;"",",","")</f>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`HRM360-CH02`],</v>
      </c>
    </row>
    <row r="39" spans="1:4" ht="105">
      <c r="A39" s="3" t="s">
        <v>155</v>
      </c>
      <c r="B39" s="5" t="s">
        <v>328</v>
      </c>
      <c r="C39" s="3" t="s">
        <v>1011</v>
      </c>
      <c r="D39" s="3" t="str">
        <f>"[`" &amp; A39 &amp; "`,``,``,``,``, ``,`"  &amp; B39 &amp; "`, `" &amp; C39 &amp; "`]" &amp; IF(C40&lt;&gt;"",",","")</f>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`HRM360-CH02`],</v>
      </c>
    </row>
    <row r="40" spans="1:4" ht="60">
      <c r="A40" s="3" t="s">
        <v>156</v>
      </c>
      <c r="B40" s="5" t="s">
        <v>242</v>
      </c>
      <c r="C40" s="3" t="s">
        <v>1011</v>
      </c>
      <c r="D40" s="3" t="str">
        <f>"[`" &amp; A40 &amp; "`,``,``,``,``, ``,`"  &amp; B40 &amp; "`, `" &amp; C40 &amp; "`]" &amp; IF(C41&lt;&gt;"",",","")</f>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`HRM360-CH02`],</v>
      </c>
    </row>
    <row r="41" spans="1:4" ht="60">
      <c r="A41" s="5" t="s">
        <v>158</v>
      </c>
      <c r="B41" s="5" t="s">
        <v>243</v>
      </c>
      <c r="C41" s="3" t="s">
        <v>1011</v>
      </c>
      <c r="D41" s="3" t="str">
        <f>"[`" &amp; A41 &amp; "`,``,``,``,``, ``,`"  &amp; B41 &amp; "`, `" &amp; C41 &amp; "`]" &amp; IF(C42&lt;&gt;"",",","")</f>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`HRM360-CH02`],</v>
      </c>
    </row>
    <row r="42" spans="1:4" ht="165">
      <c r="A42" s="3" t="s">
        <v>157</v>
      </c>
      <c r="B42" s="5" t="s">
        <v>329</v>
      </c>
      <c r="C42" s="3" t="s">
        <v>1011</v>
      </c>
      <c r="D42" s="3" t="str">
        <f>"[`" &amp; A42 &amp; "`,``,``,``,``, ``,`"  &amp; B42 &amp; "`, `" &amp; C42 &amp; "`]" &amp; IF(C43&lt;&gt;"",",","")</f>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`HRM360-CH02`],</v>
      </c>
    </row>
    <row r="43" spans="1:4" ht="375">
      <c r="A43" s="3" t="s">
        <v>159</v>
      </c>
      <c r="B43" s="5" t="s">
        <v>281</v>
      </c>
      <c r="C43" s="3" t="s">
        <v>1011</v>
      </c>
      <c r="D43" s="3" t="str">
        <f>"[`" &amp; A43 &amp; "`,``,``,``,``, ``,`"  &amp; B43 &amp; "`, `" &amp; C43 &amp; "`]" &amp; IF(C44&lt;&gt;"",",","")</f>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`HRM360-CH02`],</v>
      </c>
    </row>
    <row r="44" spans="1:4" ht="30">
      <c r="A44" s="3" t="s">
        <v>269</v>
      </c>
      <c r="B44" s="5" t="s">
        <v>244</v>
      </c>
      <c r="C44" s="3" t="s">
        <v>1011</v>
      </c>
      <c r="D44" s="3" t="str">
        <f>"[`" &amp; A44 &amp; "`,``,``,``,``, ``,`"  &amp; B44 &amp; "`, `" &amp; C44 &amp; "`]" &amp; IF(C45&lt;&gt;"",",","")</f>
        <v>[`Value wheel - what are the four poles? (key info)`,``,``,``,``, ``,`&lt;p class='space'&gt;Self-transcendence - Self-Enhancement&lt;p class='space'&gt;Openness to Change - Conservation`, `HRM360-CH02`],</v>
      </c>
    </row>
    <row r="45" spans="1:4" ht="105">
      <c r="A45" s="3" t="s">
        <v>160</v>
      </c>
      <c r="B45" s="5" t="s">
        <v>245</v>
      </c>
      <c r="C45" s="3" t="s">
        <v>1011</v>
      </c>
      <c r="D45" s="3" t="str">
        <f>"[`" &amp; A45 &amp; "`,``,``,``,``, ``,`"  &amp; B45 &amp; "`, `" &amp; C45 &amp; "`]" &amp; IF(C46&lt;&gt;"",",","")</f>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`HRM360-CH02`],</v>
      </c>
    </row>
    <row r="46" spans="1:4" ht="180">
      <c r="A46" s="3" t="s">
        <v>161</v>
      </c>
      <c r="B46" s="5" t="s">
        <v>246</v>
      </c>
      <c r="C46" s="3" t="s">
        <v>1011</v>
      </c>
      <c r="D46" s="3" t="str">
        <f>"[`" &amp; A46 &amp; "`,``,``,``,``, ``,`"  &amp; B46 &amp; "`, `" &amp; C46 &amp; "`]" &amp; IF(C47&lt;&gt;"",",","")</f>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`HRM360-CH02`],</v>
      </c>
    </row>
    <row r="47" spans="1:4" ht="75">
      <c r="A47" s="3" t="s">
        <v>169</v>
      </c>
      <c r="B47" s="5" t="s">
        <v>247</v>
      </c>
      <c r="C47" s="3" t="s">
        <v>1011</v>
      </c>
      <c r="D47" s="3" t="str">
        <f>"[`" &amp; A47 &amp; "`,``,``,``,``, ``,`"  &amp; B47 &amp; "`, `" &amp; C47 &amp; "`]" &amp; IF(C48&lt;&gt;"",",","")</f>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`HRM360-CH02`],</v>
      </c>
    </row>
    <row r="48" spans="1:4" ht="105">
      <c r="A48" s="3" t="s">
        <v>170</v>
      </c>
      <c r="B48" s="5" t="s">
        <v>248</v>
      </c>
      <c r="C48" s="3" t="s">
        <v>1011</v>
      </c>
      <c r="D48" s="3" t="str">
        <f>"[`" &amp; A48 &amp; "`,``,``,``,``, ``,`"  &amp; B48 &amp; "`, `" &amp; C48 &amp; "`]" &amp; IF(C49&lt;&gt;"",",","")</f>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`HRM360-CH02`],</v>
      </c>
    </row>
    <row r="49" spans="1:4" ht="90">
      <c r="A49" s="3" t="s">
        <v>162</v>
      </c>
      <c r="B49" s="5" t="s">
        <v>282</v>
      </c>
      <c r="C49" s="3" t="s">
        <v>1011</v>
      </c>
      <c r="D49" s="3" t="str">
        <f>"[`" &amp; A49 &amp; "`,``,``,``,``, ``,`"  &amp; B49 &amp; "`, `" &amp; C49 &amp; "`]" &amp; IF(C50&lt;&gt;"",",","")</f>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`HRM360-CH02`],</v>
      </c>
    </row>
    <row r="50" spans="1:4" ht="75">
      <c r="A50" s="3" t="s">
        <v>163</v>
      </c>
      <c r="B50" s="5" t="s">
        <v>283</v>
      </c>
      <c r="C50" s="3" t="s">
        <v>1011</v>
      </c>
      <c r="D50" s="3" t="str">
        <f>"[`" &amp; A50 &amp; "`,``,``,``,``, ``,`"  &amp; B50 &amp; "`, `" &amp; C50 &amp; "`]" &amp; IF(C51&lt;&gt;"",",","")</f>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`HRM360-CH02`],</v>
      </c>
    </row>
    <row r="51" spans="1:4" ht="45">
      <c r="A51" s="3" t="s">
        <v>164</v>
      </c>
      <c r="B51" s="5" t="s">
        <v>284</v>
      </c>
      <c r="C51" s="3" t="s">
        <v>1011</v>
      </c>
      <c r="D51" s="3" t="str">
        <f>"[`" &amp; A51 &amp; "`,``,``,``,``, ``,`"  &amp; B51 &amp; "`, `" &amp; C51 &amp; "`]" &amp; IF(C52&lt;&gt;"",",","")</f>
        <v>[`Nature of values (2)`,``,``,``,``, ``,`&lt;p class='space'&gt;(2) Values refer to desirable goals that motivate action. &lt;p class='space'&gt;People for whom social order, justice, and helpfulness are important values are motivated to pursue these goals.`, `HRM360-CH02`],</v>
      </c>
    </row>
    <row r="52" spans="1:4" ht="75">
      <c r="A52" s="3" t="s">
        <v>165</v>
      </c>
      <c r="B52" s="5" t="s">
        <v>285</v>
      </c>
      <c r="C52" s="3" t="s">
        <v>1011</v>
      </c>
      <c r="D52" s="3" t="str">
        <f>"[`" &amp; A52 &amp; "`,``,``,``,``, ``,`"  &amp; B52 &amp; "`, `" &amp; C52 &amp; "`]" &amp; IF(C53&lt;&gt;"",",","")</f>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`HRM360-CH02`],</v>
      </c>
    </row>
    <row r="53" spans="1:4" ht="120">
      <c r="A53" s="3" t="s">
        <v>166</v>
      </c>
      <c r="B53" s="5" t="s">
        <v>286</v>
      </c>
      <c r="C53" s="3" t="s">
        <v>1011</v>
      </c>
      <c r="D53" s="3" t="str">
        <f>"[`" &amp; A53 &amp; "`,``,``,``,``, ``,`"  &amp; B53 &amp; "`, `" &amp; C53 &amp; "`]" &amp; IF(C54&lt;&gt;"",",","")</f>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`HRM360-CH02`],</v>
      </c>
    </row>
    <row r="54" spans="1:4" ht="90">
      <c r="A54" s="3" t="s">
        <v>167</v>
      </c>
      <c r="B54" s="5" t="s">
        <v>287</v>
      </c>
      <c r="C54" s="3" t="s">
        <v>1011</v>
      </c>
      <c r="D54" s="3" t="str">
        <f>"[`" &amp; A54 &amp; "`,``,``,``,``, ``,`"  &amp; B54 &amp; "`, `" &amp; C54 &amp; "`]" &amp; IF(C55&lt;&gt;"",",","")</f>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`HRM360-CH02`],</v>
      </c>
    </row>
    <row r="55" spans="1:4" ht="120">
      <c r="A55" s="3" t="s">
        <v>168</v>
      </c>
      <c r="B55" s="5" t="s">
        <v>288</v>
      </c>
      <c r="C55" s="3" t="s">
        <v>1011</v>
      </c>
      <c r="D55" s="3" t="str">
        <f>"[`" &amp; A55 &amp; "`,``,``,``,``, ``,`"  &amp; B55 &amp; "`, `" &amp; C55 &amp; "`]" &amp; IF(C56&lt;&gt;"",",","")</f>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`HRM360-CH02`],</v>
      </c>
    </row>
    <row r="56" spans="1:4">
      <c r="A56" s="3" t="s">
        <v>171</v>
      </c>
      <c r="B56" s="5" t="s">
        <v>270</v>
      </c>
      <c r="C56" s="3" t="s">
        <v>1011</v>
      </c>
      <c r="D56" s="3" t="str">
        <f>"[`" &amp; A56 &amp; "`,``,``,``,``, ``,`"  &amp; B56 &amp; "`, `" &amp; C56 &amp; "`]" &amp; IF(C57&lt;&gt;"",",","")</f>
        <v>[`Attitudes are?`,``,``,``,``, ``,`&lt;p class='space'&gt;Diet values, psychological tendencies, fleeting changes`, `HRM360-CH02`],</v>
      </c>
    </row>
    <row r="57" spans="1:4" ht="30">
      <c r="A57" s="3" t="s">
        <v>172</v>
      </c>
      <c r="B57" s="5" t="s">
        <v>330</v>
      </c>
      <c r="C57" s="3" t="s">
        <v>1011</v>
      </c>
      <c r="D57" s="3" t="str">
        <f>"[`" &amp; A57 &amp; "`,``,``,``,``, ``,`"  &amp; B57 &amp; "`, `" &amp; C57 &amp; "`]" &amp; IF(C58&lt;&gt;"",",","")</f>
        <v>[`Job satisfaction strongly correlates with turnover`,``,``,``,``, ``,`&lt;p class='space'&gt;Negatively with turnover, the more satisfied someone is with their job the lower the tendency to quit job.`, `HRM360-CH02`],</v>
      </c>
    </row>
    <row r="58" spans="1:4" ht="120">
      <c r="A58" s="3" t="s">
        <v>186</v>
      </c>
      <c r="B58" s="5" t="s">
        <v>249</v>
      </c>
      <c r="C58" s="3" t="s">
        <v>1011</v>
      </c>
      <c r="D58" s="3" t="str">
        <f>"[`" &amp; A58 &amp; "`,``,``,``,``, ``,`"  &amp; B58 &amp; "`, `" &amp; C58 &amp; "`]" &amp; IF(C59&lt;&gt;"",",","")</f>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`HRM360-CH02`],</v>
      </c>
    </row>
    <row r="59" spans="1:4" ht="180">
      <c r="A59" s="3" t="s">
        <v>187</v>
      </c>
      <c r="B59" s="5" t="s">
        <v>289</v>
      </c>
      <c r="C59" s="3" t="s">
        <v>1011</v>
      </c>
      <c r="D59" s="3" t="str">
        <f>"[`" &amp; A59 &amp; "`,``,``,``,``, ``,`"  &amp; B59 &amp; "`, `" &amp; C59 &amp; "`]" &amp; IF(C60&lt;&gt;"",",","")</f>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`HRM360-CH02`],</v>
      </c>
    </row>
    <row r="60" spans="1:4" ht="135">
      <c r="A60" s="3" t="s">
        <v>188</v>
      </c>
      <c r="B60" s="5" t="s">
        <v>250</v>
      </c>
      <c r="C60" s="3" t="s">
        <v>1011</v>
      </c>
      <c r="D60" s="3" t="str">
        <f>"[`" &amp; A60 &amp; "`,``,``,``,``, ``,`"  &amp; B60 &amp; "`, `" &amp; C60 &amp; "`]" &amp; IF(C61&lt;&gt;"",",","")</f>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`HRM360-CH02`],</v>
      </c>
    </row>
    <row r="61" spans="1:4" ht="150">
      <c r="A61" s="3" t="s">
        <v>173</v>
      </c>
      <c r="B61" s="5" t="s">
        <v>251</v>
      </c>
      <c r="C61" s="3" t="s">
        <v>1011</v>
      </c>
      <c r="D61" s="3" t="str">
        <f>"[`" &amp; A61 &amp; "`,``,``,``,``, ``,`"  &amp; B61 &amp; "`, `" &amp; C61 &amp; "`]" &amp; IF(C62&lt;&gt;"",",","")</f>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`HRM360-CH02`],</v>
      </c>
    </row>
    <row r="62" spans="1:4" ht="75">
      <c r="A62" s="3" t="s">
        <v>174</v>
      </c>
      <c r="B62" s="5" t="s">
        <v>252</v>
      </c>
      <c r="C62" s="3" t="s">
        <v>1011</v>
      </c>
      <c r="D62" s="3" t="str">
        <f>"[`" &amp; A62 &amp; "`,``,``,``,``, ``,`"  &amp; B62 &amp; "`, `" &amp; C62 &amp; "`]" &amp; IF(C63&lt;&gt;"",",","")</f>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`HRM360-CH02`],</v>
      </c>
    </row>
    <row r="63" spans="1:4" ht="225">
      <c r="A63" s="3" t="s">
        <v>271</v>
      </c>
      <c r="B63" s="5" t="s">
        <v>253</v>
      </c>
      <c r="C63" s="3" t="s">
        <v>1011</v>
      </c>
      <c r="D63" s="3" t="str">
        <f>"[`" &amp; A63 &amp; "`,``,``,``,``, ``,`"  &amp; B63 &amp; "`, `" &amp; C63 &amp; "`]" &amp; IF(C64&lt;&gt;"",",","")</f>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`HRM360-CH02`],</v>
      </c>
    </row>
    <row r="64" spans="1:4" ht="45">
      <c r="A64" s="3" t="s">
        <v>175</v>
      </c>
      <c r="B64" s="5" t="s">
        <v>254</v>
      </c>
      <c r="C64" s="3" t="s">
        <v>1011</v>
      </c>
      <c r="D64" s="3" t="str">
        <f>"[`" &amp; A64 &amp; "`,``,``,``,``, ``,`"  &amp; B64 &amp; "`, `" &amp; C64 &amp; "`]" &amp; IF(C65&lt;&gt;"",",","")</f>
        <v>[`Cognitive dissonance`,``,``,``,``, ``,`&lt;p class='space'&gt;represents the psychological discomfort a person experiences when simultaneously holding two or more conflicting cognitions (ideas, beliefs, values, or emotions) .`, `HRM360-CH02`],</v>
      </c>
    </row>
    <row r="65" spans="1:4" ht="45">
      <c r="A65" s="3" t="s">
        <v>176</v>
      </c>
      <c r="B65" s="5" t="s">
        <v>273</v>
      </c>
      <c r="C65" s="3" t="s">
        <v>1011</v>
      </c>
      <c r="D65" s="3" t="str">
        <f>"[`" &amp; A65 &amp; "`,``,``,``,``, ``,`"  &amp; B65 &amp; "`, `" &amp; C65 &amp; "`]" &amp; IF(C66&lt;&gt;"",",","")</f>
        <v>[`What is the key link between attitudes and planned behavior`,``,``,``,``, ``,`&lt;p class='space'&gt;Intentions are the key link between attitudes and planned behavior, someone’s intention to engage in a given behavior is a strong predictor of that behavior. `, `HRM360-CH02`],</v>
      </c>
    </row>
    <row r="66" spans="1:4" ht="150">
      <c r="A66" s="3" t="s">
        <v>177</v>
      </c>
      <c r="B66" s="5" t="s">
        <v>290</v>
      </c>
      <c r="C66" s="3" t="s">
        <v>1011</v>
      </c>
      <c r="D66" s="3" t="str">
        <f>"[`"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`HRM360-CH02`],</v>
      </c>
    </row>
    <row r="67" spans="1:4" ht="90">
      <c r="A67" s="3" t="s">
        <v>178</v>
      </c>
      <c r="B67" s="5" t="s">
        <v>255</v>
      </c>
      <c r="C67" s="3" t="s">
        <v>1011</v>
      </c>
      <c r="D67" s="3" t="str">
        <f>"[`" &amp; A67 &amp; "`,``,``,``,``, ``,`"  &amp; B67 &amp; "`, `" &amp; C67 &amp; "`]" &amp; IF(C68&lt;&gt;"",",","")</f>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`HRM360-CH02`],</v>
      </c>
    </row>
    <row r="68" spans="1:4" ht="75">
      <c r="A68" s="3" t="s">
        <v>179</v>
      </c>
      <c r="B68" s="5" t="s">
        <v>274</v>
      </c>
      <c r="C68" s="3" t="s">
        <v>1011</v>
      </c>
      <c r="D68" s="3" t="str">
        <f>"[`" &amp; A68 &amp; "`,``,``,``,``, ``,`"  &amp; B68 &amp; "`, `" &amp; C68 &amp; "`]" &amp; IF(C69&lt;&gt;"",",","")</f>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`HRM360-CH02`],</v>
      </c>
    </row>
    <row r="69" spans="1:4" ht="60">
      <c r="A69" s="3" t="s">
        <v>180</v>
      </c>
      <c r="B69" s="5" t="s">
        <v>275</v>
      </c>
      <c r="C69" s="3" t="s">
        <v>1011</v>
      </c>
      <c r="D69" s="3" t="str">
        <f>"[`" &amp; A69 &amp; "`,``,``,``,``, ``,`"  &amp; B69 &amp; "`, `" &amp; C69 &amp; "`]" &amp; IF(C70&lt;&gt;"",",","")</f>
        <v>[`person–culture fit`,``,``,``,``, ``,`&lt;p class='space'&gt;If you value achievement and your employer rewards people for accomplishing goals, you are more likely to be committed to the company. This consistency between personal and company values is called person–culture fit `, `HRM360-CH02`],</v>
      </c>
    </row>
    <row r="70" spans="1:4" ht="75">
      <c r="A70" s="3" t="s">
        <v>181</v>
      </c>
      <c r="B70" s="5" t="s">
        <v>256</v>
      </c>
      <c r="C70" s="3" t="s">
        <v>1011</v>
      </c>
      <c r="D70" s="3" t="str">
        <f>"[`" &amp; A70 &amp; "`,``,``,``,``, ``,`"  &amp; B70 &amp; "`, `" &amp; C70 &amp; "`]" &amp; IF(C71&lt;&gt;"",",","")</f>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`HRM360-CH02`],</v>
      </c>
    </row>
    <row r="71" spans="1:4" ht="105">
      <c r="A71" s="10" t="s">
        <v>276</v>
      </c>
      <c r="B71" s="5" t="s">
        <v>272</v>
      </c>
      <c r="C71" s="3" t="s">
        <v>1011</v>
      </c>
      <c r="D71" s="3" t="str">
        <f>"[`" &amp; A71 &amp; "`,``,``,``,``, ``,`"  &amp; B71 &amp; "`, `" &amp; C71 &amp; "`]" &amp; IF(C72&lt;&gt;"",",","")</f>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`HRM360-CH02`],</v>
      </c>
    </row>
    <row r="72" spans="1:4">
      <c r="A72" s="3" t="s">
        <v>182</v>
      </c>
      <c r="B72" s="5" t="s">
        <v>257</v>
      </c>
      <c r="C72" s="3" t="s">
        <v>1011</v>
      </c>
      <c r="D72" s="3" t="str">
        <f>"[`" &amp; A72 &amp; "`,``,``,``,``, ``,`"  &amp; B72 &amp; "`, `" &amp; C72 &amp; "`]" &amp; IF(C73&lt;&gt;"",",","")</f>
        <v>[`What Contributes to Employee Engagement? Two Factors:`,``,``,``,``, ``,`&lt;p class='space'&gt;Person Factors&lt;p class='space'&gt;Situation Factors  `, `HRM360-CH02`],</v>
      </c>
    </row>
    <row r="73" spans="1:4" ht="30">
      <c r="A73" s="3" t="s">
        <v>183</v>
      </c>
      <c r="B73" s="5" t="s">
        <v>258</v>
      </c>
      <c r="C73" s="3" t="s">
        <v>1011</v>
      </c>
      <c r="D73" s="3" t="str">
        <f>"[`" &amp; A73 &amp; "`,``,``,``,``, ``,`"  &amp; B73 &amp; "`, `" &amp; C73 &amp; "`]" &amp; IF(C74&lt;&gt;"",",","")</f>
        <v>[`What Contributes to Employee Engagement? Person factors`,``,``,``,``, ``,`&lt;p class='space'&gt;Personality.&lt;p class='space'&gt;Positive psychological capital.&lt;p class='space'&gt;Human and social capital. `, `HRM360-CH02`],</v>
      </c>
    </row>
    <row r="74" spans="1:4" ht="150">
      <c r="A74" s="5" t="s">
        <v>189</v>
      </c>
      <c r="B74" s="5" t="s">
        <v>259</v>
      </c>
      <c r="C74" s="3" t="s">
        <v>1011</v>
      </c>
      <c r="D74" s="3" t="str">
        <f>"[`" &amp; A74 &amp; "`,``,``,``,``, ``,`"  &amp; B74 &amp; "`, `" &amp; C74 &amp; "`]" &amp; IF(C75&lt;&gt;"",",","")</f>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`HRM360-CH02`],</v>
      </c>
    </row>
    <row r="75" spans="1:4" ht="90">
      <c r="A75" s="3" t="s">
        <v>184</v>
      </c>
      <c r="B75" s="5" t="s">
        <v>260</v>
      </c>
      <c r="C75" s="3" t="s">
        <v>1011</v>
      </c>
      <c r="D75" s="3" t="str">
        <f>"[`" &amp; A75 &amp; "`,``,``,``,``, ``,`"  &amp; B75 &amp; "`, `" &amp; C75 &amp; "`]" &amp; IF(C76&lt;&gt;"",",","")</f>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`HRM360-CH02`],</v>
      </c>
    </row>
    <row r="76" spans="1:4" ht="45">
      <c r="A76" s="3" t="s">
        <v>185</v>
      </c>
      <c r="B76" s="5" t="s">
        <v>261</v>
      </c>
      <c r="C76" s="3" t="s">
        <v>1011</v>
      </c>
      <c r="D76" s="3" t="str">
        <f>"[`" &amp; A76 &amp; "`,``,``,``,``, ``,`"  &amp; B76 &amp; "`, `" &amp; C76 &amp; "`]" &amp; IF(C77&lt;&gt;"",",","")</f>
        <v>[`Five Predominant Models of Job Satisfaction`,``,``,``,``, ``,`&lt;p class='space'&gt;(1) Need Fulfillment.&lt;p class='space'&gt;(2) Met Expectations.&lt;p class='space'&gt;(3) Value Attainment.&lt;p class='space'&gt;(4) Equity.`, `HRM360-CH02`],</v>
      </c>
    </row>
    <row r="77" spans="1:4" ht="60">
      <c r="A77" s="3" t="s">
        <v>277</v>
      </c>
      <c r="B77" s="5" t="s">
        <v>262</v>
      </c>
      <c r="C77" s="3" t="s">
        <v>1011</v>
      </c>
      <c r="D77" s="3" t="str">
        <f>"[`" &amp; A77 &amp; "`,``,``,``,``, ``,`"  &amp; B77 &amp; "`, `" &amp; C77 &amp; "`]" &amp; IF(C78&lt;&gt;"",",","")</f>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`HRM360-CH02`],</v>
      </c>
    </row>
    <row r="78" spans="1:4" ht="120">
      <c r="A78" s="3" t="s">
        <v>278</v>
      </c>
      <c r="B78" s="5" t="s">
        <v>291</v>
      </c>
      <c r="C78" s="3" t="s">
        <v>1011</v>
      </c>
      <c r="D78" s="3" t="str">
        <f>"[`" &amp; A78 &amp; "`,``,``,``,``, ``,`"  &amp; B78 &amp; "`, `" &amp; C78 &amp; "`]" &amp; IF(C79&lt;&gt;"",",","")</f>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`HRM360-CH02`],</v>
      </c>
    </row>
    <row r="79" spans="1:4" ht="90">
      <c r="A79" s="3" t="s">
        <v>279</v>
      </c>
      <c r="B79" s="5" t="s">
        <v>292</v>
      </c>
      <c r="C79" s="3" t="s">
        <v>1011</v>
      </c>
      <c r="D79" s="3" t="str">
        <f>"[`" &amp; A79 &amp; "`,``,``,``,``, ``,`"  &amp; B79 &amp; "`, `" &amp; C79 &amp; "`]" &amp; IF(C80&lt;&gt;"",",","")</f>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`HRM360-CH02`],</v>
      </c>
    </row>
    <row r="80" spans="1:4" ht="120">
      <c r="A80" s="3" t="s">
        <v>280</v>
      </c>
      <c r="B80" s="5" t="s">
        <v>293</v>
      </c>
      <c r="C80" s="3" t="s">
        <v>1011</v>
      </c>
      <c r="D80" s="3" t="str">
        <f>"[`" &amp; A80 &amp; "`,``,``,``,``, ``,`"  &amp; B80 &amp; "`, `" &amp; C80 &amp; "`]" &amp; IF(C81&lt;&gt;"",",","")</f>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`HRM360-CH02`],</v>
      </c>
    </row>
    <row r="81" spans="1:4" ht="30">
      <c r="A81" s="3" t="s">
        <v>295</v>
      </c>
      <c r="B81" s="5" t="s">
        <v>296</v>
      </c>
      <c r="C81" s="3" t="s">
        <v>1012</v>
      </c>
      <c r="D81" s="3" t="str">
        <f>"[`" &amp; A81 &amp; "`,``,``,``,``, ``,`"  &amp; B81 &amp; "`, `" &amp; C81 &amp; "`]" &amp; IF(C82&lt;&gt;"",",","")</f>
        <v>[`Traits`,``,``,``,``, ``,`Facets of you that allow your behaviors to be predicted- in weak situations. `, `HRM360-CH03`],</v>
      </c>
    </row>
    <row r="82" spans="1:4" ht="75">
      <c r="A82" s="3" t="s">
        <v>299</v>
      </c>
      <c r="B82" s="5" t="s">
        <v>303</v>
      </c>
      <c r="C82" s="3" t="s">
        <v>1012</v>
      </c>
      <c r="D82" s="3" t="str">
        <f>"[`" &amp; A82 &amp; "`,``,``,``,``, ``,`"  &amp; B82 &amp; "`, `" &amp; C82 &amp; "`]" &amp; IF(C83&lt;&gt;"",",","")</f>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`HRM360-CH03`],</v>
      </c>
    </row>
    <row r="83" spans="1:4" ht="30">
      <c r="A83" s="3" t="s">
        <v>297</v>
      </c>
      <c r="B83" s="5" t="s">
        <v>331</v>
      </c>
      <c r="C83" s="3" t="s">
        <v>1012</v>
      </c>
      <c r="D83" s="3" t="str">
        <f>"[`" &amp; A83 &amp; "`,``,``,``,``, ``,`"  &amp; B83 &amp; "`, `" &amp; C83 &amp; "`]" &amp; IF(C84&lt;&gt;"",",","")</f>
        <v>[`Emotions`,``,``,``,``, ``,`&lt;p class='space'&gt;happen suddenly - affect your ability to focus. Dissipate quickly.`, `HRM360-CH03`],</v>
      </c>
    </row>
    <row r="84" spans="1:4">
      <c r="A84" s="3" t="s">
        <v>298</v>
      </c>
      <c r="B84" s="5" t="s">
        <v>304</v>
      </c>
      <c r="C84" s="3" t="s">
        <v>1012</v>
      </c>
      <c r="D84" s="3" t="str">
        <f>"[`" &amp; A84 &amp; "`,``,``,``,``, ``,`"  &amp; B84 &amp; "`, `" &amp; C84 &amp; "`]" &amp; IF(C85&lt;&gt;"",",","")</f>
        <v>[`Moods`,``,``,``,``, ``,`&lt;p class='space'&gt;Lower key - slowly shape your thoughts all day.`, `HRM360-CH03`],</v>
      </c>
    </row>
    <row r="85" spans="1:4" ht="60">
      <c r="A85" s="3" t="s">
        <v>300</v>
      </c>
      <c r="B85" s="5" t="s">
        <v>305</v>
      </c>
      <c r="C85" s="3" t="s">
        <v>1012</v>
      </c>
      <c r="D85" s="3" t="str">
        <f>"[`" &amp; A85 &amp; "`,``,``,``,``, ``,`"  &amp; B85 &amp; "`, `" &amp; C85 &amp; "`]" &amp; IF(C86&lt;&gt;"",",","")</f>
        <v>[`Emotions vs moods`,``,``,``,``, ``,`&lt;p class='space'&gt;Emotions directly impede or interrupt thought processes in the present moment and often trigger action (or the intent to act), while moods indirectly alter perception and cognition by biasing it in mood-consistent ways `, `HRM360-CH03`],</v>
      </c>
    </row>
    <row r="86" spans="1:4" ht="75">
      <c r="A86" s="3" t="s">
        <v>301</v>
      </c>
      <c r="B86" s="5" t="s">
        <v>332</v>
      </c>
      <c r="C86" s="3" t="s">
        <v>1012</v>
      </c>
      <c r="D86" s="3" t="str">
        <f>"[`" &amp; A86 &amp; "`,``,``,``,``, ``,`"  &amp; B86 &amp; "`, `" &amp; C86 &amp; "`]" &amp; IF(C87&lt;&gt;"",",","")</f>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`HRM360-CH03`],</v>
      </c>
    </row>
    <row r="87" spans="1:4">
      <c r="A87" s="3" t="s">
        <v>333</v>
      </c>
      <c r="C87" s="3" t="s">
        <v>1012</v>
      </c>
      <c r="D87" s="3" t="str">
        <f>"[`" &amp; A87 &amp; "`,``,``,``,``, ``,`"  &amp; B87 &amp; "`, `" &amp; C87 &amp; "`]" &amp; IF(C88&lt;&gt;"",",","")</f>
        <v>[`Affectivity original model`,``,``,``,``, ``,``, `HRM360-CH03`],</v>
      </c>
    </row>
    <row r="88" spans="1:4" ht="75">
      <c r="A88" s="3" t="s">
        <v>302</v>
      </c>
      <c r="B88" s="5" t="s">
        <v>312</v>
      </c>
      <c r="C88" s="3" t="s">
        <v>1012</v>
      </c>
      <c r="D88" s="3" t="str">
        <f>"[`" &amp; A88 &amp; "`,``,``,``,``, ``,`"  &amp; B88 &amp; "`, `" &amp; C88 &amp; "`]" &amp; IF(C89&lt;&gt;"",",","")</f>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`HRM360-CH03`],</v>
      </c>
    </row>
    <row r="89" spans="1:4">
      <c r="A89" s="3" t="s">
        <v>334</v>
      </c>
      <c r="B89" s="5" t="s">
        <v>306</v>
      </c>
      <c r="C89" s="3" t="s">
        <v>1012</v>
      </c>
      <c r="D89" s="3" t="str">
        <f>"[`" &amp; A89 &amp; "`,``,``,``,``, ``,`"  &amp; B89 &amp; "`, `" &amp; C89 &amp; "`]" &amp; IF(C90&lt;&gt;"",",","")</f>
        <v>[`Positive/Negative Affectivity align with`,``,``,``,``, ``,`&lt;p class='space'&gt;Big five Neuroticism  and extroversion`, `HRM360-CH03`],</v>
      </c>
    </row>
    <row r="90" spans="1:4" ht="45">
      <c r="A90" s="3" t="s">
        <v>319</v>
      </c>
      <c r="B90" s="5" t="s">
        <v>335</v>
      </c>
      <c r="C90" s="3" t="s">
        <v>1012</v>
      </c>
      <c r="D90" s="3" t="str">
        <f>"[`" &amp; A90 &amp; "`,``,``,``,``, ``,`"  &amp; B90 &amp; "`, `" &amp; C90 &amp; "`]" &amp; IF(C91&lt;&gt;"",",","")</f>
        <v>[`What Are the Big Five Dimensions of Personality?  (Trait Theory)`,``,``,``,``, ``,`&lt;p class='space'&gt;Openness&lt;p class='space'&gt;Conscientiousness&lt;p class='space'&gt;Extraversion&lt;p class='space'&gt;Agreeableness&lt;p class='space'&gt;Neuroticism (emotional stability)`, `HRM360-CH03`],</v>
      </c>
    </row>
    <row r="91" spans="1:4">
      <c r="A91" s="3" t="s">
        <v>307</v>
      </c>
      <c r="B91" s="5" t="s">
        <v>309</v>
      </c>
      <c r="C91" s="3" t="s">
        <v>1012</v>
      </c>
      <c r="D91" s="3" t="str">
        <f>"[`" &amp; A91 &amp; "`,``,``,``,``, ``,`"  &amp; B91 &amp; "`, `" &amp; C91 &amp; "`]" &amp; IF(C92&lt;&gt;"",",","")</f>
        <v>[`Employee burnout more likely when one has:`,``,``,``,``, ``,`&lt;p class='space'&gt;High negative affectivity`, `HRM360-CH03`],</v>
      </c>
    </row>
    <row r="92" spans="1:4">
      <c r="A92" s="3" t="s">
        <v>308</v>
      </c>
      <c r="B92" s="5" t="s">
        <v>310</v>
      </c>
      <c r="C92" s="3" t="s">
        <v>1012</v>
      </c>
      <c r="D92" s="3" t="str">
        <f>"[`" &amp; A92 &amp; "`,``,``,``,``, ``,`"  &amp; B92 &amp; "`, `" &amp; C92 &amp; "`]" &amp; IF(C93&lt;&gt;"",",","")</f>
        <v>[`Least likely to burnout:`,``,``,``,``, ``,`&lt;p class='space'&gt;Low negative affectivity`, `HRM360-CH03`],</v>
      </c>
    </row>
    <row r="93" spans="1:4" ht="30">
      <c r="A93" s="3" t="s">
        <v>313</v>
      </c>
      <c r="B93" s="5" t="s">
        <v>314</v>
      </c>
      <c r="C93" s="3" t="s">
        <v>1012</v>
      </c>
      <c r="D93" s="3" t="str">
        <f>"[`" &amp; A93 &amp; "`,``,``,``,``, ``,`"  &amp; B93 &amp; "`, `" &amp; C93 &amp; "`]" &amp; IF(C94&lt;&gt;"",",","")</f>
        <v>[`Emotional Intelligence - four dimensions`,``,``,``,``, ``,`&lt;p class='space'&gt;Self-awareness&lt;p class='space'&gt;Self-management&lt;p class='space'&gt;Social awareness&lt;p class='space'&gt;Relationship management`, `HRM360-CH03`],</v>
      </c>
    </row>
    <row r="94" spans="1:4" ht="75">
      <c r="A94" s="3" t="s">
        <v>311</v>
      </c>
      <c r="B94" s="5" t="s">
        <v>316</v>
      </c>
      <c r="C94" s="3" t="s">
        <v>1012</v>
      </c>
      <c r="D94" s="3" t="str">
        <f>"[`" &amp; A94 &amp; "`,``,``,``,``, ``,`"  &amp; B94 &amp; "`, `" &amp; C94 &amp; "`]" &amp; IF(C95&lt;&gt;"",",","")</f>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`HRM360-CH03`],</v>
      </c>
    </row>
    <row r="95" spans="1:4" ht="60">
      <c r="A95" s="3" t="s">
        <v>315</v>
      </c>
      <c r="B95" s="5" t="s">
        <v>318</v>
      </c>
      <c r="C95" s="3" t="s">
        <v>1012</v>
      </c>
      <c r="D95" s="3" t="str">
        <f>"[`" &amp; A95 &amp; "`,``,``,``,``, ``,`"  &amp; B95 &amp; "`, `" &amp; C95 &amp; "`]" &amp; IF(C96&lt;&gt;"",",","")</f>
        <v>[`Personality - stability - shaped by:`,``,``,``,``, ``,`&lt;p class='space'&gt;Personality is the relatively stable set of characteristics that influences an individual’s behavior and lend it consistency&lt;p class='space'&gt;Shaped by genetics (up to 50%) and environment (e.g., family, culture, education, etc.) `, `HRM360-CH03`],</v>
      </c>
    </row>
    <row r="96" spans="1:4" ht="30">
      <c r="A96" s="3" t="s">
        <v>317</v>
      </c>
      <c r="B96" s="5" t="s">
        <v>336</v>
      </c>
      <c r="C96" s="3" t="s">
        <v>1012</v>
      </c>
      <c r="D96" s="3" t="str">
        <f>"[`" &amp; A96 &amp; "`,``,``,``,``, ``,`"  &amp; B96 &amp; "`, `" &amp; C96 &amp; "`]" &amp; IF(C97&lt;&gt;"",",","")</f>
        <v>[`What has impact on job performance`,``,``,``,``, ``,`&lt;p class='space'&gt;Cognitive ability * .44&lt;p class='space'&gt;conscientiousness *.22&lt;p class='space'&gt;emotional stability * .00`, `HRM360-CH03`],</v>
      </c>
    </row>
    <row r="97" spans="1:4" ht="75">
      <c r="A97" s="3" t="s">
        <v>320</v>
      </c>
      <c r="B97" s="5" t="s">
        <v>351</v>
      </c>
      <c r="C97" s="3" t="s">
        <v>1012</v>
      </c>
      <c r="D97" s="3" t="str">
        <f>"[`" &amp; A97 &amp; "`,``,``,``,``, ``,`"  &amp; B97 &amp; "`, `" &amp; C97 &amp; "`]" &amp; IF(C98&lt;&gt;"",",","")</f>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`HRM360-CH03`],</v>
      </c>
    </row>
    <row r="98" spans="1:4" ht="75">
      <c r="A98" s="3" t="s">
        <v>321</v>
      </c>
      <c r="B98" s="5" t="s">
        <v>366</v>
      </c>
      <c r="C98" s="3" t="s">
        <v>1012</v>
      </c>
      <c r="D98" s="3" t="str">
        <f>"[`" &amp; A98 &amp; "`,``,``,``,``, ``,`"  &amp; B98 &amp; "`, `" &amp; C98 &amp; "`]" &amp; IF(C99&lt;&gt;"",",","")</f>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`HRM360-CH03`],</v>
      </c>
    </row>
    <row r="99" spans="1:4" ht="60">
      <c r="A99" s="3" t="s">
        <v>337</v>
      </c>
      <c r="B99" s="5" t="s">
        <v>352</v>
      </c>
      <c r="C99" s="3" t="s">
        <v>1012</v>
      </c>
      <c r="D99" s="3" t="str">
        <f>"[`" &amp; A99 &amp; "`,``,``,``,``, ``,`"  &amp; B99 &amp; "`, `" &amp; C99 &amp; "`]" &amp; IF(C100&lt;&gt;"",",","")</f>
        <v>[`Big five - Consciousness`,``,``,``,``, ``,`&lt;p class='space'&gt;Dependable, responsible, achievement-oriented, persistent&lt;p class='space'&gt;Strong predictor of job performance&lt;p class='space'&gt;Conscientiousness has the strongest (most positive) effects on job performance and training performance. `, `HRM360-CH03`],</v>
      </c>
    </row>
    <row r="100" spans="1:4" ht="60">
      <c r="A100" s="3" t="s">
        <v>353</v>
      </c>
      <c r="B100" s="5" t="s">
        <v>367</v>
      </c>
      <c r="C100" s="3" t="s">
        <v>1012</v>
      </c>
      <c r="D100" s="3" t="str">
        <f>"[`" &amp; A100 &amp; "`,``,``,``,``, ``,`"  &amp; B100 &amp; "`, `" &amp; C100 &amp; "`]" &amp; IF(C101&lt;&gt;"",",","")</f>
        <v>[`Big five - Emotional Stability`,``,``,``,``, ``,`&lt;p class='space'&gt;Relaxed, secure, unworried&lt;p class='space'&gt;Low negative Affectivity&lt;p class='space'&gt;Emotional stability, along with conscientiousness and agreeableness, is associated with a greater focus on and practice of workplace safety.`, `HRM360-CH03`],</v>
      </c>
    </row>
    <row r="101" spans="1:4" ht="60">
      <c r="A101" s="3" t="s">
        <v>322</v>
      </c>
      <c r="B101" s="5" t="s">
        <v>368</v>
      </c>
      <c r="C101" s="3" t="s">
        <v>1012</v>
      </c>
      <c r="D101" s="3" t="str">
        <f>"[`" &amp; A101 &amp; "`,``,``,``,``, ``,`"  &amp; B101 &amp; "`, `" &amp; C101 &amp; "`]" &amp; IF(C102&lt;&gt;"",",","")</f>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`HRM360-CH03`],</v>
      </c>
    </row>
    <row r="102" spans="1:4" ht="45">
      <c r="A102" s="3" t="s">
        <v>338</v>
      </c>
      <c r="B102" s="5" t="s">
        <v>343</v>
      </c>
      <c r="C102" s="3" t="s">
        <v>1012</v>
      </c>
      <c r="D102" s="3" t="str">
        <f>"[`" &amp; A102 &amp; "`,``,``,``,``, ``,`"  &amp; B102 &amp; "`, `" &amp; C102 &amp; "`]" &amp; IF(C103&lt;&gt;"",",","")</f>
        <v>[`Locus of Control:`,``,``,``,``, ``,`&lt;p class='space'&gt;Locus of Control: Belief that the events in one’s life are mostly controlled either by oneself (internal) or by the situation or others (external) `, `HRM360-CH03`],</v>
      </c>
    </row>
    <row r="103" spans="1:4" ht="30">
      <c r="A103" s="3" t="s">
        <v>339</v>
      </c>
      <c r="B103" s="5" t="s">
        <v>344</v>
      </c>
      <c r="C103" s="3" t="s">
        <v>1012</v>
      </c>
      <c r="D103" s="3" t="str">
        <f>"[`" &amp; A103 &amp; "`,``,``,``,``, ``,`"  &amp; B103 &amp; "`, `" &amp; C103 &amp; "`]" &amp; IF(C104&lt;&gt;"",",","")</f>
        <v>[`CSE - core self-evaluation`,``,``,``,``, ``,`&lt;p class='space'&gt;A person’s core self-evaluation is the degree to which a person evaluates his/her self (or self-concept) positively&lt;p class='space'&gt; `, `HRM360-CH03`],</v>
      </c>
    </row>
    <row r="104" spans="1:4" ht="45">
      <c r="A104" s="3" t="s">
        <v>340</v>
      </c>
      <c r="B104" s="5" t="s">
        <v>345</v>
      </c>
      <c r="C104" s="3" t="s">
        <v>1012</v>
      </c>
      <c r="D104" s="3" t="str">
        <f>"[`" &amp; A104 &amp; "`,``,``,``,``, ``,`"  &amp; B104 &amp; "`, `" &amp; C104 &amp; "`]" &amp; IF(C105&lt;&gt;"",",","")</f>
        <v>[`Self-Esteem: `,``,``,``,``, ``,`&lt;p class='space'&gt;Self-Esteem: Overall feelings of self-worth; high self-esteem is associated with positive feelings and emphasizing strengths over weaknesses `, `HRM360-CH03`],</v>
      </c>
    </row>
    <row r="105" spans="1:4" ht="30">
      <c r="A105" s="3" t="s">
        <v>341</v>
      </c>
      <c r="B105" s="5" t="s">
        <v>346</v>
      </c>
      <c r="C105" s="3" t="s">
        <v>1012</v>
      </c>
      <c r="D105" s="3" t="str">
        <f>"[`" &amp; A105 &amp; "`,``,``,``,``, ``,`"  &amp; B105 &amp; "`, `" &amp; C105 &amp; "`]" &amp; IF(C106&lt;&gt;"",",","")</f>
        <v>[`Self-Efficacy:`,``,``,``,``, ``,`&lt;p class='space'&gt;Self-Efficacy: Overall belief of how effectively one can perform, cope, or succeed in various situations`, `HRM360-CH03`],</v>
      </c>
    </row>
    <row r="106" spans="1:4" ht="120">
      <c r="A106" s="3" t="s">
        <v>342</v>
      </c>
      <c r="B106" s="5" t="s">
        <v>347</v>
      </c>
      <c r="C106" s="3" t="s">
        <v>1012</v>
      </c>
      <c r="D106" s="3" t="str">
        <f>"[`" &amp; A106 &amp; "`,``,``,``,``, ``,`"  &amp; B106 &amp; "`, `" &amp; C106 &amp; "`]" &amp; IF(C107&lt;&gt;"",",","")</f>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`HRM360-CH03`],</v>
      </c>
    </row>
    <row r="107" spans="1:4" ht="75">
      <c r="A107" s="3" t="s">
        <v>349</v>
      </c>
      <c r="B107" s="5" t="s">
        <v>350</v>
      </c>
      <c r="C107" s="3" t="s">
        <v>1012</v>
      </c>
      <c r="D107" s="3" t="str">
        <f>"[`" &amp; A107 &amp; "`,``,``,``,``, ``,`"  &amp; B107 &amp; "`, `" &amp; C107 &amp; "`]" &amp; IF(C108&lt;&gt;"",",","")</f>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`HRM360-CH03`],</v>
      </c>
    </row>
    <row r="108" spans="1:4">
      <c r="A108" s="3" t="s">
        <v>354</v>
      </c>
      <c r="B108" s="5" t="s">
        <v>369</v>
      </c>
      <c r="C108" s="3" t="s">
        <v>1012</v>
      </c>
      <c r="D108" s="3" t="str">
        <f>"[`" &amp; A108 &amp; "`,``,``,``,``, ``,`"  &amp; B108 &amp; "`, `" &amp; C108 &amp; "`]" &amp; IF(C109&lt;&gt;"",",","")</f>
        <v>[`“Ideal Employee” Personality`,``,``,``,``, ``,`&lt;p class='space'&gt;There Is No “Ideal Employee” Personality`, `HRM360-CH03`],</v>
      </c>
    </row>
    <row r="109" spans="1:4" ht="90">
      <c r="A109" s="3" t="s">
        <v>355</v>
      </c>
      <c r="B109" s="5" t="s">
        <v>356</v>
      </c>
      <c r="C109" s="3" t="s">
        <v>1012</v>
      </c>
      <c r="D109" s="3" t="str">
        <f>"[`" &amp; A109 &amp; "`,``,``,``,``, ``,`"  &amp; B109 &amp; "`, `" &amp; C109 &amp; "`]" &amp; IF(C110&lt;&gt;"",",","")</f>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`HRM360-CH03`],</v>
      </c>
    </row>
    <row r="110" spans="1:4" ht="75">
      <c r="A110" s="3" t="s">
        <v>357</v>
      </c>
      <c r="B110" s="5" t="s">
        <v>361</v>
      </c>
      <c r="C110" s="3" t="s">
        <v>1012</v>
      </c>
      <c r="D110" s="3" t="str">
        <f>"[`" &amp; A110 &amp; "`,``,``,``,``, ``,`"  &amp; B110 &amp; "`, `" &amp; C110 &amp; "`]" &amp; IF(C111&lt;&gt;"",",","")</f>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`HRM360-CH03`],</v>
      </c>
    </row>
    <row r="111" spans="1:4" ht="30">
      <c r="A111" s="3" t="s">
        <v>358</v>
      </c>
      <c r="B111" s="5" t="s">
        <v>362</v>
      </c>
      <c r="C111" s="3" t="s">
        <v>1012</v>
      </c>
      <c r="D111" s="3" t="str">
        <f>"[`" &amp; A111 &amp; "`,``,``,``,``, ``,`"  &amp; B111 &amp; "`, `" &amp; C111 &amp; "`]" &amp; IF(C112&lt;&gt;"",",","")</f>
        <v>[`Core self-evaluations -  Self-esteem`,``,``,``,``, ``,`&lt;p class='space'&gt;Self-esteem is your general belief about your own self-worth. `, `HRM360-CH03`],</v>
      </c>
    </row>
    <row r="112" spans="1:4" ht="45">
      <c r="A112" s="3" t="s">
        <v>359</v>
      </c>
      <c r="B112" s="5" t="s">
        <v>363</v>
      </c>
      <c r="C112" s="3" t="s">
        <v>1012</v>
      </c>
      <c r="D112" s="3" t="str">
        <f>"[`" &amp; A112 &amp; "`,``,``,``,``, ``,`"  &amp; B112 &amp; "`, `" &amp; C112 &amp; "`]" &amp; IF(C113&lt;&gt;"",",","")</f>
        <v>[`Core self-evaluations - Locus of control`,``,``,``,``, ``,`&lt;p class='space'&gt;Locus of control is a relatively stable personality characteristic that describes how much personal responsibility we take for our behavior and its consequences. `, `HRM360-CH03`],</v>
      </c>
    </row>
    <row r="113" spans="1:4" ht="45">
      <c r="A113" s="3" t="s">
        <v>360</v>
      </c>
      <c r="B113" s="5" t="s">
        <v>364</v>
      </c>
      <c r="C113" s="3" t="s">
        <v>1012</v>
      </c>
      <c r="D113" s="3" t="str">
        <f>"[`" &amp; A113 &amp; "`,``,``,``,``, ``,`"  &amp; B113 &amp; "`, `" &amp; C113 &amp; "`]" &amp; IF(C114&lt;&gt;"",",","")</f>
        <v>[`Core self-evaluations - Emotional Stability`,``,``,``,``, ``,`&lt;p class='space'&gt; Individuals with high levels of emotional stability tend to be relaxed, secure, unworried, and less likely to experience negative emotions under pressure.`, `HRM360-CH03`],</v>
      </c>
    </row>
    <row r="114" spans="1:4">
      <c r="A114" s="5" t="s">
        <v>378</v>
      </c>
      <c r="B114" s="5" t="s">
        <v>379</v>
      </c>
      <c r="C114" s="3" t="s">
        <v>1012</v>
      </c>
      <c r="D114" s="3" t="str">
        <f>"[`" &amp; A114 &amp; "`,``,``,``,``, ``,`"  &amp; B114 &amp; "`, `" &amp; C114 &amp; "`]" &amp; IF(C115&lt;&gt;"",",","")</f>
        <v>[`Which Big 5 factors predict the following? Performance? `,``,``,``,``, ``,`&lt;p class='space'&gt;consciousness`, `HRM360-CH03`],</v>
      </c>
    </row>
    <row r="115" spans="1:4">
      <c r="A115" s="5" t="s">
        <v>377</v>
      </c>
      <c r="B115" s="5" t="s">
        <v>379</v>
      </c>
      <c r="C115" s="3" t="s">
        <v>1012</v>
      </c>
      <c r="D115" s="3" t="str">
        <f>"[`" &amp; A115 &amp; "`,``,``,``,``, ``,`"  &amp; B115 &amp; "`, `" &amp; C115 &amp; "`]" &amp; IF(C116&lt;&gt;"",",","")</f>
        <v>[`Which Big 5 factors predict the following? Occupational Success?`,``,``,``,``, ``,`&lt;p class='space'&gt;consciousness`, `HRM360-CH03`],</v>
      </c>
    </row>
    <row r="116" spans="1:4" ht="30">
      <c r="A116" s="5" t="s">
        <v>376</v>
      </c>
      <c r="B116" s="5" t="s">
        <v>381</v>
      </c>
      <c r="C116" s="3" t="s">
        <v>1012</v>
      </c>
      <c r="D116" s="3" t="str">
        <f>"[`" &amp; A116 &amp; "`,``,``,``,``, ``,`"  &amp; B116 &amp; "`, `" &amp; C116 &amp; "`]" &amp; IF(C117&lt;&gt;"",",","")</f>
        <v>[`Which Big 5 factors predict the following? Performance in social interactions?`,``,``,``,``, ``,`&lt;p class='space'&gt;extroversion`, `HRM360-CH03`],</v>
      </c>
    </row>
    <row r="117" spans="1:4">
      <c r="A117" s="3" t="s">
        <v>390</v>
      </c>
      <c r="B117" s="5" t="s">
        <v>381</v>
      </c>
      <c r="C117" s="3" t="s">
        <v>1012</v>
      </c>
      <c r="D117" s="3" t="str">
        <f>"[`" &amp; A117 &amp; "`,``,``,``,``, ``,`"  &amp; B117 &amp; "`, `" &amp; C117 &amp; "`]" &amp; IF(C118&lt;&gt;"",",","")</f>
        <v>[`Which Big 5 factors predict the following? Performance in customer service?`,``,``,``,``, ``,`&lt;p class='space'&gt;extroversion`, `HRM360-CH03`],</v>
      </c>
    </row>
    <row r="118" spans="1:4">
      <c r="A118" s="3" t="s">
        <v>391</v>
      </c>
      <c r="B118" s="5" t="s">
        <v>380</v>
      </c>
      <c r="C118" s="3" t="s">
        <v>1012</v>
      </c>
      <c r="D118" s="3" t="str">
        <f>"[`" &amp; A118 &amp; "`,``,``,``,``, ``,`"  &amp; B118 &amp; "`, `" &amp; C118 &amp; "`]" &amp; IF(C119&lt;&gt;"",",","")</f>
        <v>[`Which Big 5 factors predict the following? Team Performance?`,``,``,``,``, ``,`&lt;p class='space'&gt;consciousness  - agreeableness`, `HRM360-CH03`],</v>
      </c>
    </row>
    <row r="119" spans="1:4">
      <c r="A119" s="3" t="s">
        <v>392</v>
      </c>
      <c r="B119" s="5" t="s">
        <v>393</v>
      </c>
      <c r="C119" s="3" t="s">
        <v>1012</v>
      </c>
      <c r="D119" s="3" t="str">
        <f>"[`" &amp; A119 &amp; "`,``,``,``,``, ``,`"  &amp; B119 &amp; "`, `" &amp; C119 &amp; "`]" &amp; IF(C120&lt;&gt;"",",","")</f>
        <v>[`Which Big 5 factors predict the following? Emotional Support?`,``,``,``,``, ``,`&lt;p class='space'&gt; emotional stability - agreeableness`, `HRM360-CH03`],</v>
      </c>
    </row>
    <row r="120" spans="1:4">
      <c r="A120" s="3" t="s">
        <v>394</v>
      </c>
      <c r="B120" s="5" t="s">
        <v>382</v>
      </c>
      <c r="C120" s="3" t="s">
        <v>1012</v>
      </c>
      <c r="D120" s="3" t="str">
        <f>"[`" &amp; A120 &amp; "`,``,``,``,``, ``,`"  &amp; B120 &amp; "`, `" &amp; C120 &amp; "`]" &amp; IF(C121&lt;&gt;"",",","")</f>
        <v>[`Which Big 5 factors predict the following? Creativity or Innovation?`,``,``,``,``, ``,`&lt;p class='space'&gt;openness`, `HRM360-CH03`],</v>
      </c>
    </row>
    <row r="121" spans="1:4">
      <c r="A121" s="3" t="s">
        <v>395</v>
      </c>
      <c r="B121" s="5" t="s">
        <v>383</v>
      </c>
      <c r="C121" s="3" t="s">
        <v>1012</v>
      </c>
      <c r="D121" s="3" t="str">
        <f>"[`" &amp; A121 &amp; "`,``,``,``,``, ``,`"  &amp; B121 &amp; "`, `" &amp; C121 &amp; "`]" &amp; IF(C122&lt;&gt;"",",","")</f>
        <v>[`Which Big 5 factors predict the following? Helping Behavior?`,``,``,``,``, ``,`&lt;p class='space'&gt;agreeableness`, `HRM360-CH03`],</v>
      </c>
    </row>
    <row r="122" spans="1:4">
      <c r="A122" s="3" t="s">
        <v>396</v>
      </c>
      <c r="B122" s="5" t="s">
        <v>384</v>
      </c>
      <c r="C122" s="3" t="s">
        <v>1012</v>
      </c>
      <c r="D122" s="3" t="str">
        <f>"[`" &amp; A122 &amp; "`,``,``,``,``, ``,`"  &amp; B122 &amp; "`, `" &amp; C122 &amp; "`]" &amp; IF(C123&lt;&gt;"",",","")</f>
        <v>[`Which Big 5 factors predict the following? Burnout?`,``,``,``,``, ``,`&lt;p class='space'&gt;low emotional stability`, `HRM360-CH03`],</v>
      </c>
    </row>
    <row r="123" spans="1:4">
      <c r="A123" s="3" t="s">
        <v>397</v>
      </c>
      <c r="B123" s="5" t="s">
        <v>385</v>
      </c>
      <c r="C123" s="3" t="s">
        <v>1012</v>
      </c>
      <c r="D123" s="3" t="str">
        <f>"[`" &amp; A123 &amp; "`,``,``,``,``, ``,`"  &amp; B123 &amp; "`, `" &amp; C123 &amp; "`]" &amp; IF(C124&lt;&gt;"",",","")</f>
        <v>[`Which Big 5 factors predict the following? Transformational Leadership?`,``,``,``,``, ``,`&lt;p class='space'&gt;extroversion - agreeableness`, `HRM360-CH03`],</v>
      </c>
    </row>
    <row r="124" spans="1:4" ht="45">
      <c r="A124" s="3" t="s">
        <v>348</v>
      </c>
      <c r="B124" s="5" t="s">
        <v>365</v>
      </c>
      <c r="C124" s="3" t="s">
        <v>1013</v>
      </c>
      <c r="D124" s="3" t="str">
        <f>"[`" &amp; A124 &amp; "`,``,``,``,``, ``,`"  &amp; B124 &amp; "`, `" &amp; C124 &amp; "`]" &amp; IF(C125&lt;&gt;"",",","")</f>
        <v>[`Personality `,``,``,``,``, ``,`&lt;p class='space'&gt;Personality is the combination of stable physical, behavioral, and mental characteristics that gives individuals their unique identities. `, `HRM360-CH04`],</v>
      </c>
    </row>
    <row r="125" spans="1:4" ht="30">
      <c r="A125" s="3" t="s">
        <v>371</v>
      </c>
      <c r="B125" s="5" t="s">
        <v>374</v>
      </c>
      <c r="C125" s="3" t="s">
        <v>1013</v>
      </c>
      <c r="D125" s="3" t="str">
        <f>"[`" &amp; A125 &amp; "`,``,``,``,``, ``,`"  &amp; B125 &amp; "`, `" &amp; C125 &amp; "`]" &amp; IF(C126&lt;&gt;"",",","")</f>
        <v>[`Two tendencies specific to emotions:`,``,``,``,``, ``,`&lt;p class='space'&gt;positive affectivity and negative affectivity&lt;p class='space'&gt;these are fundamental differences between people`, `HRM360-CH04`],</v>
      </c>
    </row>
    <row r="126" spans="1:4" ht="45">
      <c r="A126" s="3" t="s">
        <v>372</v>
      </c>
      <c r="B126" s="5" t="s">
        <v>437</v>
      </c>
      <c r="C126" s="3" t="s">
        <v>1013</v>
      </c>
      <c r="D126" s="3" t="str">
        <f>"[`" &amp; A126 &amp; "`,``,``,``,``, ``,`"  &amp; B126 &amp; "`, `" &amp; C126 &amp; "`]" &amp; IF(C127&lt;&gt;"",",","")</f>
        <v>[`High positive affectivity vs low is characterized by:`,``,``,``,``, ``,`&lt;p class='space'&gt;High positive affectivity - excited-interested and active&lt;p class='space'&gt;Low positive affectivity - lack of positive emotions - depressed grouchy lethargic`, `HRM360-CH04`],</v>
      </c>
    </row>
    <row r="127" spans="1:4" ht="30">
      <c r="A127" s="3" t="s">
        <v>373</v>
      </c>
      <c r="B127" s="5" t="s">
        <v>375</v>
      </c>
      <c r="C127" s="3" t="s">
        <v>1013</v>
      </c>
      <c r="D127" s="3" t="str">
        <f>"[`" &amp; A127 &amp; "`,``,``,``,``, ``,`"  &amp; B127 &amp; "`, `" &amp; C127 &amp; "`]" &amp; IF(C128&lt;&gt;"",",","")</f>
        <v>[`High negative affectivity vs low is characterized by:`,``,``,``,``, ``,`&lt;p class='space'&gt;High Negative affectivity - rage irritable&lt;p class='space'&gt;low negative affectivity - serene calm`, `HRM360-CH04`],</v>
      </c>
    </row>
    <row r="128" spans="1:4" ht="45">
      <c r="A128" s="3" t="s">
        <v>438</v>
      </c>
      <c r="B128" s="5" t="s">
        <v>439</v>
      </c>
      <c r="C128" s="3" t="s">
        <v>1013</v>
      </c>
      <c r="D128" s="3" t="str">
        <f>"[`" &amp; A128 &amp; "`,``,``,``,``, ``,`"  &amp; B128 &amp; "`, `" &amp; C128 &amp; "`]" &amp; IF(C129&lt;&gt;"",",","")</f>
        <v>[`How can one's emotional intelligence be altered.`,``,``,``,``, ``,`&lt;p class='space'&gt;EQ (emotional intelligence can be altered by putting one into situations that require the application of EQ. Repeated practice so to speak.`, `HRM360-CH04`],</v>
      </c>
    </row>
    <row r="129" spans="1:4">
      <c r="A129" s="3" t="s">
        <v>386</v>
      </c>
      <c r="B129" s="5" t="s">
        <v>388</v>
      </c>
      <c r="C129" s="3" t="s">
        <v>1013</v>
      </c>
      <c r="D129" s="3" t="str">
        <f>"[`" &amp; A129 &amp; "`,``,``,``,``, ``,`"  &amp; B129 &amp; "`, `" &amp; C129 &amp; "`]" &amp; IF(C130&lt;&gt;"",",","")</f>
        <v>[`Determining attitudes vs values which is easier `,``,``,``,``, ``,`&lt;p class='space'&gt;Attitudes are much easier to see`, `HRM360-CH04`],</v>
      </c>
    </row>
    <row r="130" spans="1:4" ht="75">
      <c r="A130" s="5" t="s">
        <v>387</v>
      </c>
      <c r="B130" s="5" t="s">
        <v>389</v>
      </c>
      <c r="C130" s="3" t="s">
        <v>1013</v>
      </c>
      <c r="D130" s="3" t="str">
        <f>"[`"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`HRM360-CH04`],</v>
      </c>
    </row>
    <row r="131" spans="1:4" ht="60">
      <c r="A131" s="3" t="s">
        <v>398</v>
      </c>
      <c r="B131" s="5" t="s">
        <v>404</v>
      </c>
      <c r="C131" s="3" t="s">
        <v>1013</v>
      </c>
      <c r="D131" s="3" t="str">
        <f>"[`" &amp; A131 &amp; "`,``,``,``,``, ``,`"  &amp; B131 &amp; "`, `" &amp; C131 &amp; "`]" &amp; IF(C132&lt;&gt;"",",","")</f>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`HRM360-CH04`],</v>
      </c>
    </row>
    <row r="132" spans="1:4" ht="45">
      <c r="A132" s="3" t="s">
        <v>399</v>
      </c>
      <c r="B132" s="5" t="s">
        <v>402</v>
      </c>
      <c r="C132" s="3" t="s">
        <v>1013</v>
      </c>
      <c r="D132" s="3" t="str">
        <f>"[`" &amp; A132 &amp; "`,``,``,``,``, ``,`"  &amp; B132 &amp; "`, `" &amp; C132 &amp; "`]" &amp; IF(C133&lt;&gt;"",",","")</f>
        <v>[`The fundamental attribution bias`,``,``,``,``, ``,`&lt;p class='space'&gt;The fundamental attribution bias reflects our tendency to attribute another person’s behavior to his or her personal characteristics, rather than to situation factors. `, `HRM360-CH04`],</v>
      </c>
    </row>
    <row r="133" spans="1:4" ht="30">
      <c r="A133" s="3" t="s">
        <v>400</v>
      </c>
      <c r="B133" s="5" t="s">
        <v>431</v>
      </c>
      <c r="C133" s="3" t="s">
        <v>1013</v>
      </c>
      <c r="D133" s="3" t="str">
        <f>"[`" &amp; A133 &amp; "`,``,``,``,``, ``,`"  &amp; B133 &amp; "`, `" &amp; C133 &amp; "`]" &amp; IF(C134&lt;&gt;"",",","")</f>
        <v>[`Self-serving Bias`,``,``,``,``, ``,`&lt;p class='space'&gt;One's tendency to take credit for success and deny blame for failure`, `HRM360-CH04`],</v>
      </c>
    </row>
    <row r="134" spans="1:4" ht="75">
      <c r="A134" s="3" t="s">
        <v>401</v>
      </c>
      <c r="B134" s="5" t="s">
        <v>403</v>
      </c>
      <c r="C134" s="3" t="s">
        <v>1013</v>
      </c>
      <c r="D134" s="3" t="str">
        <f>"[`" &amp; A134 &amp; "`,``,``,``,``, ``,`"  &amp; B134 &amp; "`, `" &amp; C134 &amp; "`]" &amp; IF(C135&lt;&gt;"",",","")</f>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`HRM360-CH04`],</v>
      </c>
    </row>
    <row r="135" spans="1:4" ht="105">
      <c r="A135" s="3" t="s">
        <v>405</v>
      </c>
      <c r="B135" s="5" t="s">
        <v>407</v>
      </c>
      <c r="C135" s="3" t="s">
        <v>1013</v>
      </c>
      <c r="D135" s="3" t="str">
        <f>"[`" &amp; A135 &amp; "`,``,``,``,``, ``,`"  &amp; B135 &amp; "`, `" &amp; C135 &amp; "`]" &amp; IF(C136&lt;&gt;"",",","")</f>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`HRM360-CH04`],</v>
      </c>
    </row>
    <row r="136" spans="1:4" ht="60">
      <c r="A136" s="3" t="s">
        <v>406</v>
      </c>
      <c r="B136" s="5" t="s">
        <v>408</v>
      </c>
      <c r="C136" s="3" t="s">
        <v>1013</v>
      </c>
      <c r="D136" s="3" t="str">
        <f>"[`" &amp; A136 &amp; "`,``,``,``,``, ``,`"  &amp; B136 &amp; "`, `" &amp; C136 &amp; "`]" &amp; IF(C137&lt;&gt;"",",","")</f>
        <v>[`Meta-Analysis`,``,``,``,``, ``,`&lt;p class='space'&gt;Meta-analysis is the statistical procedure for combining data from multiple studies. &lt;p class='space'&gt;When the treatment effect (or effect size) is consistent from one study to the next, meta-analysis can be used to identify this common effect.`, `HRM360-CH04`],</v>
      </c>
    </row>
    <row r="137" spans="1:4" ht="105">
      <c r="A137" s="3" t="s">
        <v>409</v>
      </c>
      <c r="B137" s="5" t="s">
        <v>414</v>
      </c>
      <c r="C137" s="3" t="s">
        <v>1013</v>
      </c>
      <c r="D137" s="3" t="str">
        <f>"[`" &amp; A137 &amp; "`,``,``,``,``, ``,`"  &amp; B137 &amp; "`, `" &amp; C137 &amp; "`]" &amp; IF(C138&lt;&gt;"",",","")</f>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`HRM360-CH04`],</v>
      </c>
    </row>
    <row r="138" spans="1:4" ht="60">
      <c r="A138" s="5" t="s">
        <v>410</v>
      </c>
      <c r="B138" s="5" t="s">
        <v>415</v>
      </c>
      <c r="C138" s="3" t="s">
        <v>1013</v>
      </c>
      <c r="D138" s="3" t="str">
        <f>"[`" &amp; A138 &amp; "`,``,``,``,``, ``,`"  &amp; B138 &amp; "`, `" &amp; C138 &amp; "`]" &amp; IF(C139&lt;&gt;"",",","")</f>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`HRM360-CH04`],</v>
      </c>
    </row>
    <row r="139" spans="1:4" ht="60">
      <c r="A139" s="3" t="s">
        <v>417</v>
      </c>
      <c r="B139" s="5" t="s">
        <v>411</v>
      </c>
      <c r="C139" s="3" t="s">
        <v>1013</v>
      </c>
      <c r="D139" s="3" t="str">
        <f>"[`" &amp; A139 &amp; "`,``,``,``,``, ``,`"  &amp; B139 &amp; "`, `" &amp; C139 &amp; "`]" &amp; IF(C140&lt;&gt;"",",","")</f>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`HRM360-CH04`],</v>
      </c>
    </row>
    <row r="140" spans="1:4" ht="45">
      <c r="A140" s="3" t="s">
        <v>418</v>
      </c>
      <c r="B140" s="5" t="s">
        <v>412</v>
      </c>
      <c r="C140" s="3" t="s">
        <v>1013</v>
      </c>
      <c r="D140" s="3" t="str">
        <f>"[`" &amp; A140 &amp; "`,``,``,``,``, ``,`"  &amp; B140 &amp; "`, `" &amp; C140 &amp; "`]" &amp; IF(C141&lt;&gt;"",",","")</f>
        <v>[`We attribute behavior to two types of causes:`,``,``,``,``, ``,`&lt;p class='space'&gt;Internal causes within a person’s control (e.g., personality, ability, values, effort, etc.)&lt;p class='space'&gt;External causes outside of a person’s control (e.g., task difficulty, luck, situation, etc.) `, `HRM360-CH04`],</v>
      </c>
    </row>
    <row r="141" spans="1:4" ht="90">
      <c r="A141" s="3" t="s">
        <v>413</v>
      </c>
      <c r="B141" s="5" t="s">
        <v>416</v>
      </c>
      <c r="C141" s="3" t="s">
        <v>1013</v>
      </c>
      <c r="D141" s="3" t="str">
        <f>"[`" &amp; A141 &amp; "`,``,``,``,``, ``,`"  &amp; B141 &amp; "`, `" &amp; C141 &amp; "`]" &amp; IF(C142&lt;&gt;"",",","")</f>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`HRM360-CH04`],</v>
      </c>
    </row>
    <row r="142" spans="1:4" ht="30">
      <c r="A142" s="3" t="s">
        <v>420</v>
      </c>
      <c r="B142" s="5" t="s">
        <v>419</v>
      </c>
      <c r="C142" s="3" t="s">
        <v>1013</v>
      </c>
      <c r="D142" s="3" t="str">
        <f>"[`" &amp; A142 &amp; "`,``,``,``,``, ``,`"  &amp; B142 &amp; "`, `" &amp; C142 &amp; "`]" &amp; IF(C143&lt;&gt;"",",","")</f>
        <v>[`Fundamental attribution error also:`,``,``,``,``, ``,`&lt;p class='space'&gt;Fundamental attribution error (a.k.a., the correspondence bias):`, `HRM360-CH04`],</v>
      </c>
    </row>
    <row r="143" spans="1:4" ht="105">
      <c r="A143" s="3" t="s">
        <v>421</v>
      </c>
      <c r="B143" s="5" t="s">
        <v>444</v>
      </c>
      <c r="C143" s="3" t="s">
        <v>1013</v>
      </c>
      <c r="D143" s="3" t="str">
        <f>"[`" &amp; A143 &amp; "`,``,``,``,``, ``,`"  &amp; B143 &amp; "`, `" &amp; C143 &amp; "`]" &amp; IF(C144&lt;&gt;"",",","")</f>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`HRM360-CH04`],</v>
      </c>
    </row>
    <row r="144" spans="1:4" ht="30">
      <c r="A144" s="3" t="s">
        <v>422</v>
      </c>
      <c r="B144" s="5" t="s">
        <v>423</v>
      </c>
      <c r="C144" s="3" t="s">
        <v>1013</v>
      </c>
      <c r="D144" s="3" t="str">
        <f>"[`" &amp; A144 &amp; "`,``,``,``,``, ``,`"  &amp; B144 &amp; "`, `" &amp; C144 &amp; "`]" &amp; IF(C145&lt;&gt;"",",","")</f>
        <v>[`Difference between self serving bias and attribution bias`,``,``,``,``, ``,`&lt;p class='space'&gt;self serving bias, why I failed&lt;p class='space'&gt;attribution bias, why someone else failed`, `HRM360-CH04`],</v>
      </c>
    </row>
    <row r="145" spans="1:4" ht="30">
      <c r="A145" s="3" t="s">
        <v>424</v>
      </c>
      <c r="B145" s="5" t="s">
        <v>440</v>
      </c>
      <c r="C145" s="3" t="s">
        <v>1013</v>
      </c>
      <c r="D145" s="3" t="str">
        <f>"[`" &amp; A145 &amp; "`,``,``,``,``, ``,`"  &amp; B145 &amp; "`, `" &amp; C145 &amp; "`]" &amp; IF(C146&lt;&gt;"",",","")</f>
        <v>[`Inner locus of control `,``,``,``,``, ``,`&lt;p class='space'&gt;Individuals like this are more likely to accept responsivities for positives and negatives that happen to them.`, `HRM360-CH04`],</v>
      </c>
    </row>
    <row r="146" spans="1:4" ht="150">
      <c r="A146" s="3" t="s">
        <v>433</v>
      </c>
      <c r="B146" s="5" t="s">
        <v>441</v>
      </c>
      <c r="C146" s="3" t="s">
        <v>1013</v>
      </c>
      <c r="D146" s="3" t="str">
        <f>"[`" &amp; A146 &amp; "`,``,``,``,``, ``,`"  &amp; B146 &amp; "`, `" &amp; C146 &amp; "`]" &amp; IF(C147&lt;&gt;"",",","")</f>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`HRM360-CH04`],</v>
      </c>
    </row>
    <row r="147" spans="1:4" ht="195">
      <c r="A147" s="3" t="s">
        <v>426</v>
      </c>
      <c r="B147" s="5" t="s">
        <v>425</v>
      </c>
      <c r="C147" s="3" t="s">
        <v>1013</v>
      </c>
      <c r="D147" s="3" t="str">
        <f>"[`" &amp; A147 &amp; "`,``,``,``,``, ``,`"  &amp; B147 &amp; "`, `" &amp; C147 &amp; "`]" &amp; IF(C148&lt;&gt;"",",","")</f>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`HRM360-CH04`],</v>
      </c>
    </row>
    <row r="148" spans="1:4" ht="60">
      <c r="A148" s="3" t="s">
        <v>427</v>
      </c>
      <c r="B148" s="5" t="s">
        <v>428</v>
      </c>
      <c r="C148" s="3" t="s">
        <v>1013</v>
      </c>
      <c r="D148" s="3" t="str">
        <f>"[`" &amp; A148 &amp; "`,``,``,``,``, ``,`"  &amp; B148 &amp; "`, `" &amp; C148 &amp; "`]" &amp; IF(C149&lt;&gt;"",",","")</f>
        <v>[`Perception`,``,``,``,``, ``,`&lt;p class='space'&gt;Perception is a cognitive process that enables us to interpret and understand our surroundings.&lt;p class='space'&gt;Perception is important to OB because behavior is based on our perception of reality, not on reality itself`, `HRM360-CH04`],</v>
      </c>
    </row>
    <row r="149" spans="1:4" ht="90">
      <c r="A149" s="3" t="s">
        <v>430</v>
      </c>
      <c r="B149" s="5" t="s">
        <v>429</v>
      </c>
      <c r="C149" s="3" t="s">
        <v>1013</v>
      </c>
      <c r="D149" s="3" t="str">
        <f>"[`" &amp; A149 &amp; "`,``,``,``,``, ``,`"  &amp; B149 &amp; "`, `" &amp; C149 &amp; "`]" &amp; IF(C150&lt;&gt;"",",","")</f>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`HRM360-CH04`],</v>
      </c>
    </row>
    <row r="150" spans="1:4" ht="30">
      <c r="A150" s="5" t="s">
        <v>434</v>
      </c>
      <c r="B150" s="5" t="s">
        <v>435</v>
      </c>
      <c r="C150" s="3" t="s">
        <v>1013</v>
      </c>
      <c r="D150" s="3" t="str">
        <f>"[`" &amp; A150 &amp; "`,``,``,``,``, ``,`"  &amp; B150 &amp; "`, `" &amp; C150 &amp; "`]" &amp; IF(C151&lt;&gt;"",",","")</f>
        <v>[` Causal Attributions`,``,``,``,``, ``,`&lt;p class='space'&gt;Causal attributions are suspected or inferred causes of behavior. `, `HRM360-CH04`],</v>
      </c>
    </row>
    <row r="151" spans="1:4" ht="30">
      <c r="A151" s="3" t="s">
        <v>432</v>
      </c>
      <c r="B151" s="5" t="s">
        <v>436</v>
      </c>
      <c r="C151" s="3" t="s">
        <v>1013</v>
      </c>
      <c r="D151" s="3" t="str">
        <f>"[`" &amp; A151 &amp; "`,``,``,``,``, ``,`"  &amp; B151 &amp; "`, `" &amp; C151 &amp; "`]" &amp; IF(C152&lt;&gt;"",",","")</f>
        <v>[`Diversity`,``,``,``,``, ``,`&lt;p class='space'&gt;Diversity pertains to the host of individual differences that make each of us unique and different from all others.`, `HRM360-CH04`],</v>
      </c>
    </row>
    <row r="152" spans="1:4" ht="30">
      <c r="A152" s="3" t="s">
        <v>75</v>
      </c>
      <c r="B152" s="5" t="s">
        <v>199</v>
      </c>
      <c r="C152" s="3" t="s">
        <v>1014</v>
      </c>
      <c r="D152" s="3" t="str">
        <f>"[`" &amp; A152 &amp; "`,``,``,``,``, ``,`"  &amp; B152 &amp; "`, `" &amp; C152 &amp; "`]" &amp; IF(C153&lt;&gt;"",",","")</f>
        <v>[`Extrinsic motivation`,``,``,``,``, ``,`&lt;p class='space'&gt;results from the potential or actual receipt of external rewards`, `HRM360-CH05`],</v>
      </c>
    </row>
    <row r="153" spans="1:4" ht="30">
      <c r="A153" s="3" t="s">
        <v>79</v>
      </c>
      <c r="B153" s="5" t="s">
        <v>200</v>
      </c>
      <c r="C153" s="3" t="s">
        <v>1014</v>
      </c>
      <c r="D153" s="3" t="str">
        <f>"[`" &amp; A153 &amp; "`,``,``,``,``, ``,`"  &amp; B153 &amp; "`, `" &amp; C153 &amp; "`]" &amp; IF(C154&lt;&gt;"",",","")</f>
        <v>[`Intrinsic motivation `,``,``,``,``, ``,`&lt;p class='space'&gt;occurs when an individual is inspired by “the positive internal feelings that are generated by doing well,`, `HRM360-CH05`],</v>
      </c>
    </row>
    <row r="154" spans="1:4" ht="75">
      <c r="A154" s="3" t="s">
        <v>80</v>
      </c>
      <c r="B154" s="5" t="s">
        <v>201</v>
      </c>
      <c r="C154" s="3" t="s">
        <v>1014</v>
      </c>
      <c r="D154" s="3" t="str">
        <f>"[`" &amp; A154 &amp; "`,``,``,``,``, ``,`"  &amp; B154 &amp; "`, `" &amp; C154 &amp; "`]" &amp; IF(C155&lt;&gt;"",",","")</f>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`HRM360-CH05`],</v>
      </c>
    </row>
    <row r="155" spans="1:4" ht="105">
      <c r="A155" s="3" t="s">
        <v>81</v>
      </c>
      <c r="B155" s="5" t="s">
        <v>202</v>
      </c>
      <c r="C155" s="3" t="s">
        <v>1014</v>
      </c>
      <c r="D155" s="3" t="str">
        <f>"[`" &amp; A155 &amp; "`,``,``,``,``, ``,`"  &amp; B155 &amp; "`, `" &amp; C155 &amp; "`]" &amp; IF(C156&lt;&gt;"",",","")</f>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`HRM360-CH05`],</v>
      </c>
    </row>
    <row r="156" spans="1:4" ht="60">
      <c r="A156" s="3" t="s">
        <v>82</v>
      </c>
      <c r="B156" s="5" t="s">
        <v>190</v>
      </c>
      <c r="C156" s="3" t="s">
        <v>1014</v>
      </c>
      <c r="D156" s="3" t="str">
        <f>"[`" &amp; A156 &amp; "`,``,``,``,``, ``,`"  &amp; B156 &amp; "`, `" &amp; C156 &amp; "`]" &amp; IF(C157&lt;&gt;"",",","")</f>
        <v>[`Content theories include:`,``,``,``,``, ``,`&lt;p class='space'&gt;(1) McGregor’s Theory X and Theory Y.&lt;p class='space'&gt;(2) Maslow’s need hierarchy theory.&lt;p class='space'&gt;(3) Acquired needs theory.&lt;p class='space'&gt;(4) Self-determination theory.&lt;p class='space'&gt;(5) Herzberg’s motivator-hygiene theory.`, `HRM360-CH05`],</v>
      </c>
    </row>
    <row r="157" spans="1:4" ht="90">
      <c r="A157" s="3" t="s">
        <v>83</v>
      </c>
      <c r="B157" s="5" t="s">
        <v>195</v>
      </c>
      <c r="C157" s="3" t="s">
        <v>1014</v>
      </c>
      <c r="D157" s="3" t="str">
        <f>"[`" &amp; A157 &amp; "`,``,``,``,``, ``,`"  &amp; B157 &amp; "`, `" &amp; C157 &amp; "`]" &amp; IF(C158&lt;&gt;"",",","")</f>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`HRM360-CH05`],</v>
      </c>
    </row>
    <row r="158" spans="1:4" ht="135">
      <c r="A158" s="3" t="s">
        <v>84</v>
      </c>
      <c r="B158" s="5" t="s">
        <v>191</v>
      </c>
      <c r="C158" s="3" t="s">
        <v>1014</v>
      </c>
      <c r="D158" s="3" t="str">
        <f>"[`" &amp; A158 &amp; "`,``,``,``,``, ``,`"  &amp; B158 &amp; "`, `" &amp; C158 &amp; "`]" &amp; IF(C159&lt;&gt;"",",","")</f>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`HRM360-CH05`],</v>
      </c>
    </row>
    <row r="159" spans="1:4">
      <c r="A159" s="3" t="s">
        <v>85</v>
      </c>
      <c r="B159" s="5" t="s">
        <v>203</v>
      </c>
      <c r="C159" s="3" t="s">
        <v>1014</v>
      </c>
      <c r="D159" s="3" t="str">
        <f>"[`" &amp; A159 &amp; "`,``,``,``,``, ``,`"  &amp; B159 &amp; "`, `" &amp; C159 &amp; "`]" &amp; IF(C160&lt;&gt;"",",","")</f>
        <v>[`Maslow's need - Physiological`,``,``,``,``, ``,`&lt;p class='space'&gt;Most basic need - food, air, and water to survive`, `HRM360-CH05`],</v>
      </c>
    </row>
    <row r="160" spans="1:4">
      <c r="A160" s="3" t="s">
        <v>86</v>
      </c>
      <c r="B160" s="5" t="s">
        <v>204</v>
      </c>
      <c r="C160" s="3" t="s">
        <v>1014</v>
      </c>
      <c r="D160" s="3" t="str">
        <f>"[`" &amp; A160 &amp; "`,``,``,``,``, ``,`"  &amp; B160 &amp; "`, `" &amp; C160 &amp; "`]" &amp; IF(C161&lt;&gt;"",",","")</f>
        <v>[`Maslow's need - Safety`,``,``,``,``, ``,`&lt;p class='space'&gt;Safe from physical and psychological harm`, `HRM360-CH05`],</v>
      </c>
    </row>
    <row r="161" spans="1:4" ht="30">
      <c r="A161" s="3" t="s">
        <v>87</v>
      </c>
      <c r="B161" s="5" t="s">
        <v>323</v>
      </c>
      <c r="C161" s="3" t="s">
        <v>1014</v>
      </c>
      <c r="D161" s="3" t="str">
        <f>"[`" &amp; A161 &amp; "`,``,``,``,``, ``,`"  &amp; B161 &amp; "`, `" &amp; C161 &amp; "`]" &amp; IF(C162&lt;&gt;"",",","")</f>
        <v>[`Maslow's need - love`,``,``,``,``, ``,`&lt;p class='space'&gt;desire to be loved and to love - needs for affection and belonging`, `HRM360-CH05`],</v>
      </c>
    </row>
    <row r="162" spans="1:4" ht="30">
      <c r="A162" s="3" t="s">
        <v>88</v>
      </c>
      <c r="B162" s="5" t="s">
        <v>324</v>
      </c>
      <c r="C162" s="3" t="s">
        <v>1014</v>
      </c>
      <c r="D162" s="3" t="str">
        <f>"[`" &amp; A162 &amp; "`,``,``,``,``, ``,`"  &amp; B162 &amp; "`, `" &amp; C162 &amp; "`]" &amp; IF(C163&lt;&gt;"",",","")</f>
        <v>[`Maslow's need - Esteem`,``,``,``,``, ``,`&lt;p class='space'&gt;Need for reputation, prestige, and recognition from others. Included need for self-confidence and strength`, `HRM360-CH05`],</v>
      </c>
    </row>
    <row r="163" spans="1:4" ht="30">
      <c r="A163" s="3" t="s">
        <v>192</v>
      </c>
      <c r="B163" s="5" t="s">
        <v>205</v>
      </c>
      <c r="C163" s="3" t="s">
        <v>1014</v>
      </c>
      <c r="D163" s="3" t="str">
        <f>"[`" &amp; A163 &amp; "`,``,``,``,``, ``,`"  &amp; B163 &amp; "`, `" &amp; C163 &amp; "`]" &amp; IF(C164&lt;&gt;"",",","")</f>
        <v>[`Maslow's need - Self-Actualization`,``,``,``,``, ``,`&lt;p class='space'&gt;Desire for self fulfillment - to become the best one is capable of becoming.`, `HRM360-CH05`],</v>
      </c>
    </row>
    <row r="164" spans="1:4" ht="90">
      <c r="A164" s="3" t="s">
        <v>449</v>
      </c>
      <c r="B164" s="5" t="s">
        <v>325</v>
      </c>
      <c r="C164" s="3" t="s">
        <v>1014</v>
      </c>
      <c r="D164" s="3" t="str">
        <f>"[`" &amp; A164 &amp; "`,``,``,``,``, ``,`"  &amp; B164 &amp; "`, `" &amp; C164 &amp; "`]" &amp; IF(C165&lt;&gt;"",",","")</f>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`HRM360-CH05`],</v>
      </c>
    </row>
    <row r="165" spans="1:4" ht="90">
      <c r="A165" s="3" t="s">
        <v>326</v>
      </c>
      <c r="B165" s="5" t="s">
        <v>206</v>
      </c>
      <c r="C165" s="3" t="s">
        <v>1014</v>
      </c>
      <c r="D165" s="3" t="str">
        <f>"[`" &amp; A165 &amp; "`,``,``,``,``, ``,`"  &amp; B165 &amp; "`, `" &amp; C165 &amp; "`]" &amp; IF(C166&lt;&gt;"",",","")</f>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`HRM360-CH05`],</v>
      </c>
    </row>
    <row r="166" spans="1:4" ht="105">
      <c r="A166" s="3" t="s">
        <v>89</v>
      </c>
      <c r="B166" s="5" t="s">
        <v>207</v>
      </c>
      <c r="C166" s="3" t="s">
        <v>1014</v>
      </c>
      <c r="D166" s="3" t="str">
        <f>"[`" &amp; A166 &amp; "`,``,``,``,``, ``,`"  &amp; B166 &amp; "`, `" &amp; C166 &amp; "`]" &amp; IF(C167&lt;&gt;"",",","")</f>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`HRM360-CH05`],</v>
      </c>
    </row>
    <row r="167" spans="1:4" ht="105">
      <c r="A167" s="3" t="s">
        <v>90</v>
      </c>
      <c r="B167" s="5" t="s">
        <v>267</v>
      </c>
      <c r="C167" s="3" t="s">
        <v>1014</v>
      </c>
      <c r="D167" s="3" t="str">
        <f>"[`" &amp; A167 &amp; "`,``,``,``,``, ``,`"  &amp; B167 &amp; "`, `" &amp; C167 &amp; "`]" &amp; IF(C168&lt;&gt;"",",","")</f>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`HRM360-CH05`],</v>
      </c>
    </row>
    <row r="168" spans="1:4" ht="45">
      <c r="A168" s="3" t="s">
        <v>91</v>
      </c>
      <c r="B168" s="5" t="s">
        <v>208</v>
      </c>
      <c r="C168" s="3" t="s">
        <v>1014</v>
      </c>
      <c r="D168" s="3" t="str">
        <f>"[`" &amp; A168 &amp; "`,``,``,``,``, ``,`"  &amp; B168 &amp; "`, `" &amp; C168 &amp; "`]" &amp; IF(C169&lt;&gt;"",",","")</f>
        <v>[`Need for affiliation.`,``,``,``,``, ``,`&lt;p class='space'&gt;Need for affiliation. People motivated by the need for affiliation like to work in teams and in organizational climates characterized as cooperative and collegial. `, `HRM360-CH05`],</v>
      </c>
    </row>
    <row r="169" spans="1:4" ht="30">
      <c r="A169" s="3" t="s">
        <v>92</v>
      </c>
      <c r="B169" s="5" t="s">
        <v>209</v>
      </c>
      <c r="C169" s="3" t="s">
        <v>1014</v>
      </c>
      <c r="D169" s="3" t="str">
        <f>"[`" &amp; A169 &amp; "`,``,``,``,``, ``,`"  &amp; B169 &amp; "`, `" &amp; C169 &amp; "`]" &amp; IF(C170&lt;&gt;"",",","")</f>
        <v>[`Need for power.`,``,``,``,``, ``,`&lt;p class='space'&gt;Need for power. People with a high need for power like to be in charge. They enjoy coaching and helping others develop. `, `HRM360-CH05`],</v>
      </c>
    </row>
    <row r="170" spans="1:4" ht="120">
      <c r="A170" s="3" t="s">
        <v>93</v>
      </c>
      <c r="B170" s="5" t="s">
        <v>210</v>
      </c>
      <c r="C170" s="3" t="s">
        <v>1014</v>
      </c>
      <c r="D170" s="3" t="str">
        <f>"[`" &amp; A170 &amp; "`,``,``,``,``, ``,`"  &amp; B170 &amp; "`, `" &amp; C170 &amp; "`]" &amp; IF(C171&lt;&gt;"",",","")</f>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`HRM360-CH05`],</v>
      </c>
    </row>
    <row r="171" spans="1:4" ht="90">
      <c r="A171" s="3" t="s">
        <v>94</v>
      </c>
      <c r="B171" s="5" t="s">
        <v>211</v>
      </c>
      <c r="C171" s="3" t="s">
        <v>1014</v>
      </c>
      <c r="D171" s="3" t="str">
        <f>"[`" &amp; A171 &amp; "`,``,``,``,``, ``,`"  &amp; B171 &amp; "`, `" &amp; C171 &amp; "`]" &amp; IF(C172&lt;&gt;"",",","")</f>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`HRM360-CH05`],</v>
      </c>
    </row>
    <row r="172" spans="1:4" ht="165">
      <c r="A172" s="3" t="s">
        <v>95</v>
      </c>
      <c r="B172" s="5" t="s">
        <v>212</v>
      </c>
      <c r="C172" s="3" t="s">
        <v>1014</v>
      </c>
      <c r="D172" s="3" t="str">
        <f>"[`" &amp; A172 &amp; "`,``,``,``,``, ``,`"  &amp; B172 &amp; "`, `" &amp; C172 &amp; "`]" &amp; IF(C173&lt;&gt;"",",","")</f>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`HRM360-CH05`],</v>
      </c>
    </row>
    <row r="173" spans="1:4" ht="150">
      <c r="A173" s="3" t="s">
        <v>96</v>
      </c>
      <c r="B173" s="5" t="s">
        <v>213</v>
      </c>
      <c r="C173" s="3" t="s">
        <v>1014</v>
      </c>
      <c r="D173" s="3" t="str">
        <f>"[`" &amp; A173 &amp; "`,``,``,``,``, ``,`"  &amp; B173 &amp; "`, `" &amp; C173 &amp; "`]" &amp; IF(C174&lt;&gt;"",",","")</f>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`HRM360-CH05`],</v>
      </c>
    </row>
    <row r="174" spans="1:4" ht="75">
      <c r="A174" s="3" t="s">
        <v>97</v>
      </c>
      <c r="B174" s="5" t="s">
        <v>214</v>
      </c>
      <c r="C174" s="3" t="s">
        <v>1014</v>
      </c>
      <c r="D174" s="3" t="str">
        <f>"[`" &amp; A174 &amp; "`,``,``,``,``, ``,`"  &amp; B174 &amp; "`, `" &amp; C174 &amp; "`]" &amp; IF(C175&lt;&gt;"",",","")</f>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`HRM360-CH05`],</v>
      </c>
    </row>
    <row r="175" spans="1:4">
      <c r="A175" s="3" t="s">
        <v>442</v>
      </c>
      <c r="C175" s="3" t="s">
        <v>1014</v>
      </c>
      <c r="D175" s="3" t="str">
        <f>"[`" &amp; A175 &amp; "`,``,``,``,``, ``,`"  &amp; B175 &amp; "`, `" &amp; C175 &amp; "`]" &amp; IF(C176&lt;&gt;"",",","")</f>
        <v>[`*Expectancy theory`,``,``,``,``, ``,``, `HRM360-CH05`],</v>
      </c>
    </row>
    <row r="176" spans="1:4" ht="90">
      <c r="A176" s="3" t="s">
        <v>443</v>
      </c>
      <c r="B176" s="5" t="s">
        <v>445</v>
      </c>
      <c r="C176" s="3" t="s">
        <v>1014</v>
      </c>
      <c r="D176" s="3" t="str">
        <f>"[`" &amp; A176 &amp; "`,``,``,``,``, ``,`"  &amp; B176 &amp; "`, `" &amp; C176 &amp; "`]" &amp; IF(C177&lt;&gt;"",",","")</f>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`HRM360-CH05`],</v>
      </c>
    </row>
    <row r="177" spans="1:4" ht="75">
      <c r="A177" s="3" t="s">
        <v>447</v>
      </c>
      <c r="B177" s="5" t="s">
        <v>454</v>
      </c>
      <c r="C177" s="3" t="s">
        <v>1014</v>
      </c>
      <c r="D177" s="3" t="str">
        <f>"[`" &amp; A177 &amp; "`,``,``,``,``, ``,`"  &amp; B177 &amp; "`, `" &amp; C177 &amp; "`]" &amp; IF(C178&lt;&gt;"",",","")</f>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`HRM360-CH05`],</v>
      </c>
    </row>
    <row r="178" spans="1:4" ht="30">
      <c r="A178" s="3" t="s">
        <v>446</v>
      </c>
      <c r="B178" s="5" t="s">
        <v>455</v>
      </c>
      <c r="C178" s="3" t="s">
        <v>1014</v>
      </c>
      <c r="D178" s="3" t="str">
        <f>"[`" &amp; A178 &amp; "`,``,``,``,``, ``,`"  &amp; B178 &amp; "`, `" &amp; C178 &amp; "`]" &amp; IF(C179&lt;&gt;"",",","")</f>
        <v>[`Output intrinsic vs extrinsic motivation`,``,``,``,``, ``,`&lt;p class='space'&gt;Studies find intrinsic motivation leads to higher quality work, and extrinsic to higher quantity `, `HRM360-CH05`],</v>
      </c>
    </row>
    <row r="179" spans="1:4" ht="75">
      <c r="A179" s="3" t="s">
        <v>448</v>
      </c>
      <c r="B179" s="5" t="s">
        <v>456</v>
      </c>
      <c r="C179" s="3" t="s">
        <v>1014</v>
      </c>
      <c r="D179" s="3" t="str">
        <f>"[`" &amp; A179 &amp; "`,``,``,``,``, ``,`"  &amp; B179 &amp; "`, `" &amp; C179 &amp; "`]" &amp; IF(C180&lt;&gt;"",",","")</f>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`HRM360-CH05`],</v>
      </c>
    </row>
    <row r="180" spans="1:4" ht="60">
      <c r="A180" s="3" t="s">
        <v>450</v>
      </c>
      <c r="B180" s="5" t="s">
        <v>451</v>
      </c>
      <c r="C180" s="3" t="s">
        <v>1014</v>
      </c>
      <c r="D180" s="3" t="str">
        <f>"[`" &amp; A180 &amp; "`,``,``,``,``, ``,`"  &amp; B180 &amp; "`, `" &amp; C180 &amp; "`]" &amp; IF(C181&lt;&gt;"",",","")</f>
        <v>[`SDT - CAR`,``,``,``,``, ``,`&lt;p class='space'&gt;Self-determination theory finds that people are more intrinsically motivated to do things that help them meet three fundamental human needs:&lt;p class='space'&gt;(1) autonomy&lt;p class='space'&gt;(2) competence&lt;p class='space'&gt;(3)relatedness `, `HRM360-CH05`],</v>
      </c>
    </row>
    <row r="181" spans="1:4" ht="135">
      <c r="A181" s="3" t="s">
        <v>452</v>
      </c>
      <c r="B181" s="5" t="s">
        <v>457</v>
      </c>
      <c r="C181" s="3" t="s">
        <v>1014</v>
      </c>
      <c r="D181" s="3" t="str">
        <f>"[`" &amp; A181 &amp; "`,``,``,``,``, ``,`"  &amp; B181 &amp; "`, `" &amp; C181 &amp; "`]" &amp; IF(C182&lt;&gt;"",",","")</f>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`HRM360-CH05`],</v>
      </c>
    </row>
    <row r="182" spans="1:4" ht="105">
      <c r="A182" s="3" t="s">
        <v>453</v>
      </c>
      <c r="B182" s="5" t="s">
        <v>458</v>
      </c>
      <c r="C182" s="3" t="s">
        <v>1014</v>
      </c>
      <c r="D182" s="3" t="str">
        <f>"[`" &amp; A182 &amp; "`,``,``,``,``, ``,`"  &amp; B182 &amp; "`, `" &amp; C182 &amp; "`]" &amp; IF(C183&lt;&gt;"",",","")</f>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`HRM360-CH05`],</v>
      </c>
    </row>
    <row r="183" spans="1:4" ht="30">
      <c r="A183" s="3" t="s">
        <v>459</v>
      </c>
      <c r="B183" s="5" t="s">
        <v>461</v>
      </c>
      <c r="C183" s="3" t="s">
        <v>1014</v>
      </c>
      <c r="D183" s="3" t="str">
        <f>"[`" &amp; A183 &amp; "`,``,``,``,``, ``,`"  &amp; B183 &amp; "`, `" &amp; C183 &amp; "`]" &amp; IF(C184&lt;&gt;"",",","")</f>
        <v>[`Motivation and equity theory`,``,``,``,``, ``,`&lt;p class='space'&gt;Equity theory, people are motivated based on their perceptions of the fairness of those exchanges`, `HRM360-CH05`],</v>
      </c>
    </row>
    <row r="184" spans="1:4" ht="75">
      <c r="A184" s="3" t="s">
        <v>460</v>
      </c>
      <c r="B184" s="5" t="s">
        <v>462</v>
      </c>
      <c r="C184" s="3" t="s">
        <v>1014</v>
      </c>
      <c r="D184" s="3" t="str">
        <f>"[`" &amp; A184 &amp; "`,``,``,``,``, ``,`"  &amp; B184 &amp; "`, `" &amp; C184 &amp; "`]" &amp; IF(C185&lt;&gt;"",",","")</f>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`HRM360-CH05`],</v>
      </c>
    </row>
    <row r="185" spans="1:4" ht="105">
      <c r="A185" s="3" t="s">
        <v>463</v>
      </c>
      <c r="B185" s="5" t="s">
        <v>464</v>
      </c>
      <c r="C185" s="3" t="s">
        <v>1014</v>
      </c>
      <c r="D185" s="3" t="str">
        <f>"[`" &amp; A185 &amp; "`,``,``,``,``, ``,`"  &amp; B185 &amp; "`, `" &amp; C185 &amp; "`]" &amp; IF(C186&lt;&gt;"",",","")</f>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`HRM360-CH05`],</v>
      </c>
    </row>
    <row r="186" spans="1:4" ht="105">
      <c r="A186" s="3" t="s">
        <v>460</v>
      </c>
      <c r="B186" s="5" t="s">
        <v>466</v>
      </c>
      <c r="C186" s="3" t="s">
        <v>1014</v>
      </c>
      <c r="D186" s="3" t="str">
        <f>"[`" &amp; A186 &amp; "`,``,``,``,``, ``,`"  &amp; B186 &amp; "`, `" &amp; C186 &amp; "`]" &amp; IF(C187&lt;&gt;"",",","")</f>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`HRM360-CH05`],</v>
      </c>
    </row>
    <row r="187" spans="1:4" ht="165">
      <c r="A187" s="3" t="s">
        <v>465</v>
      </c>
      <c r="B187" s="5" t="s">
        <v>467</v>
      </c>
      <c r="C187" s="3" t="s">
        <v>1014</v>
      </c>
      <c r="D187" s="3" t="str">
        <f>"[`" &amp; A187 &amp; "`,``,``,``,``, ``,`"  &amp; B187 &amp; "`, `" &amp; C187 &amp; "`]" &amp; IF(C188&lt;&gt;"",",","")</f>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`HRM360-CH05`],</v>
      </c>
    </row>
    <row r="188" spans="1:4" ht="150">
      <c r="A188" s="3" t="s">
        <v>468</v>
      </c>
      <c r="B188" s="5" t="s">
        <v>469</v>
      </c>
      <c r="C188" s="3" t="s">
        <v>1014</v>
      </c>
      <c r="D188" s="3" t="str">
        <f>"[`" &amp; A188 &amp; "`,``,``,``,``, ``,`"  &amp; B188 &amp; "`, `" &amp; C188 &amp; "`]" &amp; IF(C189&lt;&gt;"",",","")</f>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`HRM360-CH05`],</v>
      </c>
    </row>
    <row r="189" spans="1:4" ht="90">
      <c r="A189" s="3" t="s">
        <v>471</v>
      </c>
      <c r="B189" s="5" t="s">
        <v>470</v>
      </c>
      <c r="C189" s="3" t="s">
        <v>1014</v>
      </c>
      <c r="D189" s="3" t="str">
        <f>"[`" &amp; A189 &amp; "`,``,``,``,``, ``,`"  &amp; B189 &amp; "`, `" &amp; C189 &amp; "`]" &amp; IF(C190&lt;&gt;"",",","")</f>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`HRM360-CH05`],</v>
      </c>
    </row>
    <row r="190" spans="1:4" ht="75">
      <c r="A190" s="3" t="s">
        <v>472</v>
      </c>
      <c r="B190" s="5" t="s">
        <v>1078</v>
      </c>
      <c r="C190" s="3" t="s">
        <v>1009</v>
      </c>
      <c r="D190" s="3" t="str">
        <f>"[`" &amp; A190 &amp; "`,``,``,``,``, ``,`"  &amp; B190 &amp; "`, `" &amp; C190 &amp; "`]" &amp; IF(C191&lt;&gt;"",",","")</f>
        <v>[`What is performance management?`,``,``,``,``, ``,`&lt;p class='space'&gt;Performance management (PM) is a set of processes and managerial behaviors that include:&lt;p class='space'&gt;(1) Defining&lt;p class='space'&gt;(2) Monitoring and evaluate performance &lt;p class='space'&gt;(3) Review Performance&lt;p class='space'&gt;(4) Providing consequences for performance expectations.`, `HRM360-CH06`],</v>
      </c>
    </row>
    <row r="191" spans="1:4" ht="60">
      <c r="A191" s="3" t="s">
        <v>896</v>
      </c>
      <c r="B191" s="5" t="s">
        <v>476</v>
      </c>
      <c r="C191" s="3" t="s">
        <v>1009</v>
      </c>
      <c r="D191" s="3" t="str">
        <f>"[`" &amp; A191 &amp; "`,``,``,``,``, ``,`"  &amp; B191 &amp; "`, `" &amp; C191 &amp; "`]" &amp; IF(C192&lt;&gt;"",",","")</f>
        <v>[`Four steps of performance management:`,``,``,``,``, ``,`&lt;p class='space'&gt;Step 1: Defining performance.  &lt;p class='space'&gt;Step 2: Monitoring and evaluating performance.  &lt;p class='space'&gt;Step 3: Reviewing performance.  &lt;p class='space'&gt;Step 4: Providing consequences.`, `HRM360-CH06`],</v>
      </c>
    </row>
    <row r="192" spans="1:4" ht="45">
      <c r="A192" s="3" t="s">
        <v>477</v>
      </c>
      <c r="B192" s="5" t="s">
        <v>907</v>
      </c>
      <c r="C192" s="3" t="s">
        <v>1009</v>
      </c>
      <c r="D192" s="3" t="str">
        <f>"[`" &amp; A192 &amp; "`,``,``,``,``, ``,`"  &amp; B192 &amp; "`, `" &amp; C192 &amp; "`]" &amp; IF(C193&lt;&gt;"",",","")</f>
        <v>[`Three issues with performance management:`,``,``,``,``, ``,`&lt;p class='space'&gt;(1) performance management practices are often obsolete.&lt;p class='space'&gt;(2) performance management is time consuming.&lt;p class='space'&gt;(3) performance reviews are too narrow.`, `HRM360-CH06`],</v>
      </c>
    </row>
    <row r="193" spans="1:4" ht="30">
      <c r="A193" s="3" t="s">
        <v>908</v>
      </c>
      <c r="B193" s="5" t="s">
        <v>929</v>
      </c>
      <c r="C193" s="3" t="s">
        <v>1009</v>
      </c>
      <c r="D193" s="3" t="str">
        <f>"[`" &amp; A193 &amp; "`,``,``,``,``, ``,`"  &amp; B193 &amp; "`, `" &amp; C193 &amp; "`]" &amp; IF(C194&lt;&gt;"",",","")</f>
        <v>[`Coaching is: `,``,``,``,``, ``,`&lt;p class='space'&gt; A customized process between two or more people with the intent of enhancing learning and motivating change`, `HRM360-CH06`],</v>
      </c>
    </row>
    <row r="194" spans="1:4" ht="90">
      <c r="A194" s="3" t="s">
        <v>882</v>
      </c>
      <c r="B194" s="5" t="s">
        <v>930</v>
      </c>
      <c r="C194" s="3" t="s">
        <v>1009</v>
      </c>
      <c r="D194" s="3" t="str">
        <f>"[`" &amp; A194 &amp; "`,``,``,``,``, ``,`"  &amp; B194 &amp; "`, `" &amp; C194 &amp; "`]" &amp; IF(C195&lt;&gt;"",",","")</f>
        <v>[`Two theories used in terms of learning:`,``,``,``,``, ``,`&lt;p class='space'&gt;(1) Classical conditioning&lt;p class='space'&gt; Modifies behavior by pairing an unconditioned stimulus with a conditioned stimulus in order to elicit an unconditioned response&lt;p class='space'&gt;(2) Operant conditioning&lt;p class='space'&gt; Modifies behavior by following it with positive or negative consequences - Operant conditioning proposes that behavior can be modified by changing its consequences `, `HRM360-CH06`],</v>
      </c>
    </row>
    <row r="195" spans="1:4" ht="120">
      <c r="A195" s="3" t="s">
        <v>883</v>
      </c>
      <c r="B195" s="5" t="s">
        <v>1076</v>
      </c>
      <c r="C195" s="3" t="s">
        <v>1009</v>
      </c>
      <c r="D195" s="3" t="str">
        <f>"[`" &amp; A195 &amp; "`,``,``,``,``, ``,`"  &amp; B195 &amp; "`, `" &amp; C195 &amp; "`]" &amp; IF(C196&lt;&gt;"",",","")</f>
        <v>[`Three components of operant conditioning:`,``,``,``,``, ``,`&lt;p class='space'&gt;(1) A stimulus in the environment cues attention to a behavior&lt;p class='space'&gt;(2) Behavior occurs in response to a stimulus&lt;p class='space'&gt;(3) Outcomes are the consequences of our behavior&lt;p class='space'&gt;Example:&lt;p class='space'&gt;Starts with a stimuli - Boss says get report to me by Friday&lt;p class='space'&gt;Followed by a response - report is delivered by Friday&lt;p class='space'&gt;Then finally an outcome which is the consequence of the behavior - Boss says great job.&lt;p class='space'&gt;Next time you are more likely to get report in on time.`, `HRM360-CH06`],</v>
      </c>
    </row>
    <row r="196" spans="1:4" ht="90">
      <c r="A196" s="3" t="s">
        <v>931</v>
      </c>
      <c r="B196" s="5" t="s">
        <v>1088</v>
      </c>
      <c r="C196" s="3" t="s">
        <v>1009</v>
      </c>
      <c r="D196" s="3" t="str">
        <f>"[`" &amp; A196 &amp; "`,``,``,``,``, ``,`"  &amp; B196 &amp; "`, `" &amp; C196 &amp; "`]" &amp; IF(C197&lt;&gt;"",",","")</f>
        <v>[`Learning - Reinforcement: `,``,``,``,``, ``,`&lt;p class='space'&gt;Makes you keep doing something&lt;p class='space'&gt;Enhances desirable behavior by giving positive consequences, or withholding negative ones&lt;p class='space'&gt;Positive reinforcers - thanking employee - pay increases - promotion&lt;p class='space'&gt;Negative reinforcers -  remove probationary period, removal a negative situation - reassign`, `HRM360-CH06`],</v>
      </c>
    </row>
    <row r="197" spans="1:4" ht="90">
      <c r="A197" s="3" t="s">
        <v>932</v>
      </c>
      <c r="B197" s="5" t="s">
        <v>1089</v>
      </c>
      <c r="C197" s="3" t="s">
        <v>1009</v>
      </c>
      <c r="D197" s="3" t="str">
        <f>"[`" &amp; A197 &amp; "`,``,``,``,``, ``,`"  &amp; B197 &amp; "`, `" &amp; C197 &amp; "`]" &amp; IF(C198&lt;&gt;"",",","")</f>
        <v>[`Learning - Extinction`,``,``,``,``, ``,`&lt;p class='space'&gt;Weakening a behavior by ignoring it or making sure it is not reinforced is referred to as extinction&lt;p class='space'&gt;Attaching no consequence to an undesired behavior; this may be the most effective when used alongside positive reinforcement (for desired behaviors)&lt;p class='space'&gt;Only works if the behavior isn't intrinsically enjoyable to them (if so punishment will be required.)`, `HRM360-CH06`],</v>
      </c>
    </row>
    <row r="198" spans="1:4" ht="45">
      <c r="A198" s="3" t="s">
        <v>933</v>
      </c>
      <c r="B198" s="5" t="s">
        <v>1083</v>
      </c>
      <c r="C198" s="3" t="s">
        <v>1009</v>
      </c>
      <c r="D198" s="3" t="str">
        <f>"[`" &amp; A198 &amp; "`,``,``,``,``, ``,`"  &amp; B198 &amp; "`, `" &amp; C198 &amp; "`]" &amp; IF(C199&lt;&gt;"",",","")</f>
        <v>[`Learning - Punishment`,``,``,``,``, ``,`&lt;p class='space'&gt;Get you to stop doing something&lt;p class='space'&gt;Discourage undesirable behaviors by giving negative consequences or withholding positive consequences`, `HRM360-CH06`],</v>
      </c>
    </row>
    <row r="199" spans="1:4" ht="30">
      <c r="A199" s="5" t="s">
        <v>910</v>
      </c>
      <c r="B199" s="5" t="s">
        <v>893</v>
      </c>
      <c r="C199" s="3" t="s">
        <v>1009</v>
      </c>
      <c r="D199" s="3" t="str">
        <f>"[`" &amp; A199 &amp; "`,``,``,``,``, ``,`"  &amp; B199 &amp; "`, `" &amp; C199 &amp; "`]" &amp; IF(C200&lt;&gt;"",",","")</f>
        <v>[`Learning - Desired behaviors `,``,``,``,``, ``,`&lt;p class='space'&gt;Positive reinforcement (give positive consequences)&lt;p class='space'&gt; Negative reinforcement (withhold negative consequences)  `, `HRM360-CH06`],</v>
      </c>
    </row>
    <row r="200" spans="1:4" ht="60">
      <c r="A200" s="5" t="s">
        <v>909</v>
      </c>
      <c r="B200" s="5" t="s">
        <v>915</v>
      </c>
      <c r="C200" s="3" t="s">
        <v>1009</v>
      </c>
      <c r="D200" s="3" t="str">
        <f>"[`" &amp; A200 &amp; "`,``,``,``,``, ``,`"  &amp; B200 &amp; "`, `" &amp; C200 &amp; "`]" &amp; IF(C201&lt;&gt;"",",","")</f>
        <v>[`Learning - Undesired behaviors  `,``,``,``,``, ``,`&lt;p class='space'&gt;Extinction (Weakening a behavior by ignoring it or making sure it is not reinforced is referred to as extinction)&lt;p class='space'&gt;Punishment (give negative consequences or  withhold positive consequences)  `, `HRM360-CH06`],</v>
      </c>
    </row>
    <row r="201" spans="1:4" ht="90">
      <c r="A201" s="3" t="s">
        <v>911</v>
      </c>
      <c r="B201" s="5" t="s">
        <v>1077</v>
      </c>
      <c r="C201" s="3" t="s">
        <v>1009</v>
      </c>
      <c r="D201" s="3" t="str">
        <f>"[`" &amp; A201 &amp; "`,``,``,``,``, ``,`"  &amp; B201 &amp; "`, `" &amp; C201 &amp; "`]" &amp; IF(C202&lt;&gt;"",",","")</f>
        <v>[`What is Social Learning Theory?`,``,``,``,``, ``,`&lt;p class='space'&gt;Social learning theory asserts that people observe others, and the reinforcement applied to them for their behavior. Others will be motivated  to model their behavior accordingly if the reinforcement is appealing; &lt;p class='space'&gt;Learning is enhanced when learners have high task-specific self-efficacy (which means they believe they can do something)`, `HRM360-CH06`],</v>
      </c>
    </row>
    <row r="202" spans="1:4" ht="45">
      <c r="A202" s="3" t="s">
        <v>884</v>
      </c>
      <c r="B202" s="5" t="s">
        <v>916</v>
      </c>
      <c r="C202" s="3" t="s">
        <v>1009</v>
      </c>
      <c r="D202" s="3" t="str">
        <f>"[`" &amp; A202 &amp; "`,``,``,``,``, ``,`"  &amp; B202 &amp; "`, `" &amp; C202 &amp; "`]" &amp; IF(C203&lt;&gt;"",",","")</f>
        <v>[`What are the sources of self-efficacy?`,``,``,``,``, ``,`&lt;p class='space'&gt;Successful past performance&lt;p class='space'&gt;Vicarious experience - (seeing others like us successfully completing similar work)  &lt;p class='space'&gt;Verbal persuasion (coaching, displaying confidence) `, `HRM360-CH06`],</v>
      </c>
    </row>
    <row r="203" spans="1:4" ht="75">
      <c r="A203" s="3" t="s">
        <v>888</v>
      </c>
      <c r="B203" s="5" t="s">
        <v>894</v>
      </c>
      <c r="C203" s="3" t="s">
        <v>1009</v>
      </c>
      <c r="D203" s="3" t="str">
        <f>"[`" &amp; A203 &amp; "`,``,``,``,``, ``,`"  &amp; B203 &amp; "`, `" &amp; C203 &amp; "`]" &amp; IF(C204&lt;&gt;"",",","")</f>
        <v>[`Performance Management`,``,``,``,``, ``,`&lt;p class='space'&gt;Performance management is a set of processes and managerial behaviors that include defining, monitoring, evaluating, and providing consequences for performance expectations&lt;p class='space'&gt;Through performance management, we can regulate what employees learn and direct that learning towards completing job tasks `, `HRM360-CH06`],</v>
      </c>
    </row>
    <row r="204" spans="1:4" ht="90">
      <c r="A204" s="3" t="s">
        <v>896</v>
      </c>
      <c r="B204" s="5" t="s">
        <v>917</v>
      </c>
      <c r="C204" s="3" t="s">
        <v>1009</v>
      </c>
      <c r="D204" s="3" t="str">
        <f>"[`" &amp; A204 &amp; "`,``,``,``,``, ``,`"  &amp; B204 &amp; "`, `" &amp; C204 &amp; "`]" &amp; IF(C205&lt;&gt;"",",","")</f>
        <v>[`Four steps of performance management:`,``,``,``,``, ``,`&lt;p class='space'&gt;Step 1: Defining performance. Set goals, communicate expectations&lt;p class='space'&gt;Step 2: Monitoring and evaluating performance. Measure and evaluate progress and outcomes. &lt;p class='space'&gt;Step 3: Reviewing performance. Deliver feedback and coaching. &lt;p class='space'&gt;Step 4: Providing consequences. Administer valued rewards and appropriate punishment.`, `HRM360-CH06`],</v>
      </c>
    </row>
    <row r="205" spans="1:4" ht="45">
      <c r="A205" s="3" t="s">
        <v>887</v>
      </c>
      <c r="B205" s="5" t="s">
        <v>1082</v>
      </c>
      <c r="C205" s="3" t="s">
        <v>1009</v>
      </c>
      <c r="D205" s="3" t="str">
        <f>"[`" &amp; A205 &amp; "`,``,``,``,``, ``,`"  &amp; B205 &amp; "`, `" &amp; C205 &amp; "`]" &amp; IF(C206&lt;&gt;"",",","")</f>
        <v>[`Smart Goals`,``,``,``,``, ``,`&lt;p class='space'&gt;Smart - an acronym for: &lt;p class='space'&gt;Specific&lt;p class='space'&gt;Measurable&lt;p class='space'&gt;Attainable&lt;p class='space'&gt;Results oriented/Relevant&lt;p class='space'&gt;Time bound`, `HRM360-CH06`],</v>
      </c>
    </row>
    <row r="206" spans="1:4" ht="75">
      <c r="A206" s="3" t="s">
        <v>889</v>
      </c>
      <c r="B206" s="5" t="s">
        <v>1079</v>
      </c>
      <c r="C206" s="3" t="s">
        <v>1009</v>
      </c>
      <c r="D206" s="3" t="str">
        <f>"[`" &amp; A206 &amp; "`,``,``,``,``, ``,`"  &amp; B206 &amp; "`, `" &amp; C206 &amp; "`]" &amp; IF(C207&lt;&gt;"",",","")</f>
        <v>[`Performance Management - There are two general categories of performance behavior:`,``,``,``,``, ``,`&lt;p class='space'&gt;(1) Task performance: &lt;p class='space'&gt;Work-related tasks/goals (e.g., financial goals, administrative tasks, production, etc.)&lt;p class='space'&gt; (2) Contextual performance: (OCB)&lt;p class='space'&gt;Support the social environment (e.g., helping, cooperating, providing social support) – (organizational citizenship behavior) `, `HRM360-CH06`],</v>
      </c>
    </row>
    <row r="207" spans="1:4" ht="45">
      <c r="A207" s="3" t="s">
        <v>890</v>
      </c>
      <c r="B207" s="5" t="s">
        <v>918</v>
      </c>
      <c r="C207" s="3" t="s">
        <v>1009</v>
      </c>
      <c r="D207" s="3" t="str">
        <f>"[`" &amp; A207 &amp; "`,``,``,``,``, ``,`"  &amp; B207 &amp; "`, `" &amp; C207 &amp; "`]" &amp; IF(C208&lt;&gt;"",",","")</f>
        <v>[`Differences between  task and contextual performance`,``,``,``,``, ``,`&lt;p class='space'&gt;Task performance is often clearly defined.&lt;p class='space'&gt;Contextual performance is typically discretionary and not a mandatory part of an employee’s job.`, `HRM360-CH06`],</v>
      </c>
    </row>
    <row r="208" spans="1:4">
      <c r="A208" s="3" t="s">
        <v>919</v>
      </c>
      <c r="B208" s="5" t="s">
        <v>962</v>
      </c>
      <c r="C208" s="3" t="s">
        <v>1009</v>
      </c>
      <c r="D208" s="3" t="str">
        <f>"[`" &amp; A208 &amp; "`,``,``,``,``, ``,`"  &amp; B208 &amp; "`, `" &amp; C208 &amp; "`]" &amp; IF(C209&lt;&gt;"",",","")</f>
        <v>[`The process of establishing desired results that guide and direct behavior`,``,``,``,``, ``,`&lt;p class='space'&gt;Goal-setting`, `HRM360-CH06`],</v>
      </c>
    </row>
    <row r="209" spans="1:4" ht="75">
      <c r="A209" s="3" t="s">
        <v>912</v>
      </c>
      <c r="B209" s="5" t="s">
        <v>895</v>
      </c>
      <c r="C209" s="3" t="s">
        <v>1009</v>
      </c>
      <c r="D209" s="3" t="str">
        <f>"[`" &amp; A209 &amp; "`,``,``,``,``, ``,`"  &amp; B209 &amp; "`, `" &amp; C209 &amp; "`]" &amp; IF(C210&lt;&gt;"",",","")</f>
        <v>[`Goals affect performance through four routes:`,``,``,``,``, ``,`&lt;p class='space'&gt;(1) Directing attention towards goal-relevant activities&lt;p class='space'&gt;(2) Energizing people towards activity and behavior&lt;p class='space'&gt;(3) Encouraging persistence when possible&lt;p class='space'&gt;(4) Eliciting the use or learning (when needed) of task-relevant knowledge and strategies `, `HRM360-CH06`],</v>
      </c>
    </row>
    <row r="210" spans="1:4" ht="45">
      <c r="A210" s="3" t="s">
        <v>891</v>
      </c>
      <c r="B210" s="5" t="s">
        <v>920</v>
      </c>
      <c r="C210" s="3" t="s">
        <v>1009</v>
      </c>
      <c r="D210" s="3" t="str">
        <f>"[`" &amp; A210 &amp; "`,``,``,``,``, ``,`"  &amp; B210 &amp; "`, `" &amp; C210 &amp; "`]" &amp; IF(C211&lt;&gt;"",",","")</f>
        <v>[`Difficult (but not impossible) and specific goals can:`,``,``,``,``, ``,`&lt;p class='space'&gt;Enhance performance&lt;p class='space'&gt;     More so than no goals or “do your best” goals&lt;p class='space'&gt;     But only if feedback is received throughout `, `HRM360-CH06`],</v>
      </c>
    </row>
    <row r="211" spans="1:4" ht="30">
      <c r="A211" s="3" t="s">
        <v>892</v>
      </c>
      <c r="B211" s="5" t="s">
        <v>924</v>
      </c>
      <c r="C211" s="3" t="s">
        <v>1009</v>
      </c>
      <c r="D211" s="3" t="str">
        <f>"[`" &amp; A211 &amp; "`,``,``,``,``, ``,`"  &amp; B211 &amp; "`, `" &amp; C211 &amp; "`]" &amp; IF(C212&lt;&gt;"",",","")</f>
        <v>[`Participative goal setting (vs. assigned goals):`,``,``,``,``, ``,`&lt;p class='space'&gt;Enhances performance if it causes a person to set difficult goals`, `HRM360-CH06`],</v>
      </c>
    </row>
    <row r="212" spans="1:4" ht="90">
      <c r="A212" s="5" t="s">
        <v>913</v>
      </c>
      <c r="B212" s="5" t="s">
        <v>914</v>
      </c>
      <c r="C212" s="3" t="s">
        <v>1009</v>
      </c>
      <c r="D212" s="3" t="str">
        <f>"[`" &amp; A212 &amp; "`,``,``,``,``, ``,`"  &amp; B212 &amp; "`, `" &amp; C212 &amp; "`]" &amp; IF(C213&lt;&gt;"",",","")</f>
        <v>[`Performance-based goals vs learning-based goals `,``,``,``,``, ``,`&lt;p class='space'&gt;Performance goals are focused on workplace accomplishments. &lt;p class='space'&gt;Learning goals, meanwhile, center on an employee's desire to improve his skills and abilities to achieve higher levels of performance in the workplace.&lt;p class='space'&gt;Performance-based goals are less effective with complex tasks than are learning-based goals`, `HRM360-CH06`],</v>
      </c>
    </row>
    <row r="213" spans="1:4" ht="60">
      <c r="A213" s="3" t="s">
        <v>897</v>
      </c>
      <c r="B213" s="5" t="s">
        <v>921</v>
      </c>
      <c r="C213" s="3" t="s">
        <v>1009</v>
      </c>
      <c r="D213" s="3" t="str">
        <f>"[`" &amp; A213 &amp; "`,``,``,``,``, ``,`"  &amp; B213 &amp; "`, `" &amp; C213 &amp; "`]" &amp; IF(C214&lt;&gt;"",",","")</f>
        <v>[`Goal setting serves three major functions:`,``,``,``,``, ``,`&lt;p class='space'&gt;(1) Increase work motivation and thus performance &lt;p class='space'&gt;(2) Reduce role stress (e.g., task conflict, role ambiguity, job overload) &lt;p class='space'&gt;(3) Improve accuracy and validity of performance evaluations `, `HRM360-CH06`],</v>
      </c>
    </row>
    <row r="214" spans="1:4" ht="90">
      <c r="A214" s="3" t="s">
        <v>1087</v>
      </c>
      <c r="B214" s="5" t="s">
        <v>898</v>
      </c>
      <c r="C214" s="3" t="s">
        <v>1009</v>
      </c>
      <c r="D214" s="3" t="str">
        <f>"[`" &amp; A214 &amp; "`,``,``,``,``, ``,`"  &amp; B214 &amp; "`, `" &amp; C214 &amp; "`]" &amp; IF(C215&lt;&gt;"",",","")</f>
        <v>[`Commitment to goals can be enhanced by two things:`,``,``,``,``, ``,`&lt;p class='space'&gt;(1) Highlighting the importance of the goal: &lt;p class='space'&gt;making commitment public, validation and support from leaders, participative goal-setting, financial compensation&lt;p class='space'&gt;  (2) Boosting an employee’s goal-specific self-efficacy: &lt;p class='space'&gt;Adequate training/development, role-modeling (social learning theory), persuasive/inspirational communication `, `HRM360-CH06`],</v>
      </c>
    </row>
    <row r="215" spans="1:4" ht="45">
      <c r="A215" s="3" t="s">
        <v>899</v>
      </c>
      <c r="B215" s="5" t="s">
        <v>900</v>
      </c>
      <c r="C215" s="3" t="s">
        <v>1009</v>
      </c>
      <c r="D215" s="3" t="str">
        <f>"[`" &amp; A215 &amp; "`,``,``,``,``, ``,`"  &amp; B215 &amp; "`, `" &amp; C215 &amp; "`]" &amp; IF(C216&lt;&gt;"",",","")</f>
        <v>[`Goal commitment`,``,``,``,``, ``,`&lt;p class='space'&gt;Goals not only need to be set, but employees need to feel committed to those goals; goal commitment enhances the motivating potential of goals `, `HRM360-CH06`],</v>
      </c>
    </row>
    <row r="216" spans="1:4" ht="75">
      <c r="A216" s="3" t="s">
        <v>901</v>
      </c>
      <c r="B216" s="5" t="s">
        <v>922</v>
      </c>
      <c r="C216" s="3" t="s">
        <v>1009</v>
      </c>
      <c r="D216" s="3" t="str">
        <f>"[`" &amp; A216 &amp; "`,``,``,``,``, ``,`"  &amp; B216 &amp; "`, `" &amp; C216 &amp; "`]" &amp; IF(C217&lt;&gt;"",",","")</f>
        <v>[`Performance feedback is CRITICAL for motivating and improving performance; managers should:`,``,``,``,``, ``,`&lt;p class='space'&gt;(1) Be specific and refer to incidents, facts, and observable behaviors &lt;p class='space'&gt;(2) Focus on changeable behaviors &lt;p class='space'&gt;(3) Plan the session ahead of time (give evaluations ahead of time to let employee prepare) &lt;p class='space'&gt;(4) Balance positive with negative feedback `, `HRM360-CH06`],</v>
      </c>
    </row>
    <row r="217" spans="1:4" ht="45">
      <c r="A217" s="5" t="s">
        <v>923</v>
      </c>
      <c r="B217" s="5" t="s">
        <v>925</v>
      </c>
      <c r="C217" s="3" t="s">
        <v>1009</v>
      </c>
      <c r="D217" s="3" t="str">
        <f>"[`" &amp; A217 &amp; "`,``,``,``,``, ``,`"  &amp; B217 &amp; "`, `" &amp; C217 &amp; "`]" &amp; IF(C218&lt;&gt;"",",","")</f>
        <v>[`PM-Monitoring and Providing Feedback - Three steps to identify and correct performance issues: `,``,``,``,``, ``,`&lt;p class='space'&gt;(1) Identify the cause of poor performance &lt;p class='space'&gt;     If internal/personal, determine source; &lt;p class='space'&gt;     If external, fix if possible &lt;p class='space'&gt;(3) Develop correction plan`, `HRM360-CH06`],</v>
      </c>
    </row>
    <row r="218" spans="1:4" ht="75">
      <c r="A218" s="5" t="s">
        <v>902</v>
      </c>
      <c r="B218" s="5" t="s">
        <v>903</v>
      </c>
      <c r="C218" s="3" t="s">
        <v>1009</v>
      </c>
      <c r="D218" s="3" t="str">
        <f>"[`" &amp; A218 &amp; "`,``,``,``,``, ``,`"  &amp; B218 &amp; "`, `" &amp; C218 &amp; "`]" &amp; IF(C219&lt;&gt;"",",","")</f>
        <v>[`Managers can attribute performance issues to either internal or external causes by collecting the following information: `,``,``,``,``, ``,`&lt;p class='space'&gt;Consistency:&lt;p class='space'&gt;Does the behavior always occur?&lt;p class='space'&gt; &lt;p class='space'&gt;Consensus:&lt;p class='space'&gt;Does everyone else exhibit the behavior in that situation?&lt;p class='space'&gt; &lt;p class='space'&gt;Distinctiveness:&lt;p class='space'&gt;Does the person act that was in other situations? `, `HRM360-CH06`],</v>
      </c>
    </row>
    <row r="219" spans="1:4" ht="60">
      <c r="A219" s="3" t="s">
        <v>904</v>
      </c>
      <c r="B219" s="5" t="s">
        <v>926</v>
      </c>
      <c r="C219" s="3" t="s">
        <v>1009</v>
      </c>
      <c r="D219" s="3" t="str">
        <f>"[`" &amp; A219 &amp; "`,``,``,``,``, ``,`"  &amp; B219 &amp; "`, `" &amp; C219 &amp; "`]" &amp; IF(C220&lt;&gt;"",",","")</f>
        <v>[`What is a performance appraisal?`,``,``,``,``, ``,`&lt;p class='space'&gt;Performance appraisal is the evaluation of performance and serves many functions:&lt;p class='space'&gt;Providing feedback,&lt;p class='space'&gt;Setting developmental goals, &lt;p class='space'&gt;Deciding pay/promotions `, `HRM360-CH06`],</v>
      </c>
    </row>
    <row r="220" spans="1:4" ht="60">
      <c r="A220" s="3" t="s">
        <v>905</v>
      </c>
      <c r="B220" s="5" t="s">
        <v>927</v>
      </c>
      <c r="C220" s="3" t="s">
        <v>1009</v>
      </c>
      <c r="D220" s="3" t="str">
        <f>"[`" &amp; A220 &amp; "`,``,``,``,``, ``,`"  &amp; B220 &amp; "`, `" &amp; C220 &amp; "`]" &amp; IF(C221&lt;&gt;"",",","")</f>
        <v>[`Formal Appraisals and Reviews - Good performance appraisals are:`,``,``,``,``, ``,`&lt;p class='space'&gt;(1) Valid (many parts of performance), &lt;p class='space'&gt;(2) Reliable (multiple sources), &lt;p class='space'&gt;(3) Responsive to employee input, &lt;p class='space'&gt;(4) Flexible, and &lt;p class='space'&gt;(5) Equitable (fair) `, `HRM360-CH06`],</v>
      </c>
    </row>
    <row r="221" spans="1:4" ht="45">
      <c r="A221" s="3" t="s">
        <v>906</v>
      </c>
      <c r="B221" s="5" t="s">
        <v>928</v>
      </c>
      <c r="C221" s="3" t="s">
        <v>1009</v>
      </c>
      <c r="D221" s="3" t="str">
        <f>"[`" &amp; A221 &amp; "`,``,``,``,``, ``,`"  &amp; B221 &amp; "`, `" &amp; C221 &amp; "`]" &amp; IF(C222&lt;&gt;"",",","")</f>
        <v>[`To help maintain employee motivation long-term:`,``,``,``,``, ``,`&lt;p class='space'&gt;Managers can provide feedback regularly;&lt;p class='space'&gt;if done consistently, this practice can help maintain employee motivation long-term`, `HRM360-CH06`],</v>
      </c>
    </row>
    <row r="222" spans="1:4" ht="75">
      <c r="A222" s="3" t="s">
        <v>886</v>
      </c>
      <c r="B222" s="5" t="s">
        <v>885</v>
      </c>
      <c r="C222" s="3" t="s">
        <v>1009</v>
      </c>
      <c r="D222" s="3" t="str">
        <f>"[`" &amp; A222 &amp; "`,``,``,``,``, ``,`"  &amp; B222 &amp; "`, `" &amp; C222 &amp; "`]" &amp; IF(C223&lt;&gt;"",",","")</f>
        <v>[`What is Self-efficacy?`,``,``,``,``, ``,`Self-efficacy is the belief we have in our own abilities, specifically our ability to meet the challenges ahead of us and complete a task successfully (Akhtar, 2008). General self-efficacy refers to our overall belief in our ability to succeed, but there are many more specific forms of self-efficacy as well (e.g., academic, parenting, sports).`, `HRM360-CH06`],</v>
      </c>
    </row>
    <row r="223" spans="1:4" ht="45">
      <c r="A223" s="3" t="s">
        <v>1073</v>
      </c>
      <c r="B223" s="5" t="s">
        <v>1080</v>
      </c>
      <c r="C223" s="3" t="s">
        <v>1009</v>
      </c>
      <c r="D223" s="3" t="str">
        <f>"[`" &amp; A223 &amp; "`,``,``,``,``, ``,`"  &amp; B223 &amp; "`, `" &amp; C223 &amp; "`]" &amp; IF(C224&lt;&gt;"",",","")</f>
        <v>[`What is learning?`,``,``,``,``, ``,`&lt;p class='space'&gt;Learning is a relatively enduring change&lt;p class='space'&gt;Learning is a relatively permanent change in behavior acquired through practice or experience&lt;p class='space'&gt; Learning is taking and linking different concepts together&lt;p class='space'&gt;`, `HRM360-CH06`],</v>
      </c>
    </row>
    <row r="224" spans="1:4" ht="45">
      <c r="A224" s="3" t="s">
        <v>1074</v>
      </c>
      <c r="B224" s="5" t="s">
        <v>1084</v>
      </c>
      <c r="C224" s="3" t="s">
        <v>1009</v>
      </c>
      <c r="D224" s="3" t="str">
        <f>"[`" &amp; A224 &amp; "`,``,``,``,``, ``,`"  &amp; B224 &amp; "`, `" &amp; C224 &amp; "`]" &amp; IF(C225&lt;&gt;"",",","")</f>
        <v>[`Two ways to initiate learning:`,``,``,``,``, ``,`&lt;p class='space'&gt;(1) Give knowledge that leads to change&lt;p class='space'&gt;(2) Alter consequences of behavior `, `HRM360-CH06`],</v>
      </c>
    </row>
    <row r="225" spans="1:4" ht="45">
      <c r="A225" s="3" t="s">
        <v>480</v>
      </c>
      <c r="B225" s="5" t="s">
        <v>968</v>
      </c>
      <c r="C225" s="3" t="s">
        <v>704</v>
      </c>
      <c r="D225" s="3" t="str">
        <f>"[`" &amp; A225 &amp; "`,``,``,``,``, ``,`"  &amp; B225 &amp; "`, `" &amp; C225 &amp; "`]" &amp; IF(C226&lt;&gt;"",",","")</f>
        <v>[`Tuckman’s Five-Stage Model of Group Development`,``,``,``,``, ``,`&lt;p class='space'&gt;Forming&lt;p class='space'&gt;Storming&lt;p class='space'&gt;Norming&lt;p class='space'&gt;Performing&lt;p class='space'&gt;Adjourning`, `HRM360-CH08`],</v>
      </c>
    </row>
    <row r="226" spans="1:4" ht="75">
      <c r="A226" s="3" t="s">
        <v>934</v>
      </c>
      <c r="B226" s="5" t="s">
        <v>935</v>
      </c>
      <c r="C226" s="3" t="s">
        <v>704</v>
      </c>
      <c r="D226" s="3" t="str">
        <f>"[`" &amp; A226 &amp; "`,``,``,``,``, ``,`"  &amp; B226 &amp; "`, `" &amp; C226 &amp; "`]" &amp; IF(C227&lt;&gt;"",",","")</f>
        <v>[`Team vs Group`,``,``,``,``, ``,`&lt;p class='space'&gt;A group is two or more individuals, interacting and interdependent, who have come together to achieve particular objectives &lt;p class='space'&gt;A team is a group composed of members with complementary skills who hold themselves mutually accountable for common goals and performance `, `HRM360-CH08`],</v>
      </c>
    </row>
    <row r="227" spans="1:4" ht="90">
      <c r="A227" s="3" t="s">
        <v>936</v>
      </c>
      <c r="B227" s="5" t="s">
        <v>979</v>
      </c>
      <c r="C227" s="3" t="s">
        <v>704</v>
      </c>
      <c r="D227" s="3" t="str">
        <f>"[`" &amp; A227 &amp; "`,``,``,``,``, ``,`"  &amp; B227 &amp; "`, `" &amp; C227 &amp; "`]" &amp; IF(C228&lt;&gt;"",",","")</f>
        <v>[`When does a group become a team.`,``,``,``,``, ``,`&lt;p class='space'&gt;When leadership becomes a shared activity&lt;p class='space'&gt;(1) Accountability shifts from strictly individual to both individual and collective&lt;p class='space'&gt;(2) The group develops its own purpose or mission&lt;p class='space'&gt;(3) Problem solving becomes a way of life&lt;p class='space'&gt;(4) Effectiveness is measured by the groups collective outcomes and products`, `HRM360-CH08`],</v>
      </c>
    </row>
    <row r="228" spans="1:4" ht="90">
      <c r="A228" s="3" t="s">
        <v>937</v>
      </c>
      <c r="B228" s="5" t="s">
        <v>965</v>
      </c>
      <c r="C228" s="3" t="s">
        <v>704</v>
      </c>
      <c r="D228" s="3" t="str">
        <f>"[`" &amp; A228 &amp; "`,``,``,``,``, ``,`"  &amp; B228 &amp; "`, `" &amp; C228 &amp; "`]" &amp; IF(C229&lt;&gt;"",",","")</f>
        <v>[`Two foundational social processes that maintain team functioning:`,``,``,``,``, ``,`&lt;p class='space'&gt;Norms: which are attitudes, opinions, feelings, or action patterns that are shared by two or more people, and guide behavior&lt;p class='space'&gt;Roles: a set of expected behaviors for a particular position (or group as a whole); roles are often perceived and are intertwined, which makes them flexible depending on the situation&lt;p class='space'&gt;roles tend to be either task-based or maintenance-based `, `HRM360-CH08`],</v>
      </c>
    </row>
    <row r="229" spans="1:4" ht="60">
      <c r="A229" s="3" t="s">
        <v>938</v>
      </c>
      <c r="B229" s="5" t="s">
        <v>964</v>
      </c>
      <c r="C229" s="3" t="s">
        <v>704</v>
      </c>
      <c r="D229" s="3" t="str">
        <f>"[`" &amp; A229 &amp; "`,``,``,``,``, ``,`"  &amp; B229 &amp; "`, `" &amp; C229 &amp; "`]" &amp; IF(C230&lt;&gt;"",",","")</f>
        <v>[`Groups and teams form through a number of phases as they resolve ambiguity in these issues:`,``,``,``,``, ``,`&lt;p class='space'&gt;(1) Interpersonal: trust, personal comfort, security&lt;p class='space'&gt;(2) Task: mission/purpose of group, methods, outcomes expected&lt;p class='space'&gt;(3) Authority; assigning leadership, determining how power is managed. `, `HRM360-CH08`],</v>
      </c>
    </row>
    <row r="230" spans="1:4" ht="45">
      <c r="A230" s="3" t="s">
        <v>939</v>
      </c>
      <c r="B230" s="5" t="s">
        <v>980</v>
      </c>
      <c r="C230" s="3" t="s">
        <v>704</v>
      </c>
      <c r="D230" s="3" t="str">
        <f>"[`" &amp; A230 &amp; "`,``,``,``,``, ``,`"  &amp; B230 &amp; "`, `" &amp; C230 &amp; "`]" &amp; IF(C231&lt;&gt;"",",","")</f>
        <v>[`Team formation - Forming:`,``,``,``,``, ``,`&lt;p class='space'&gt;Undefined roles makes people dependent on a leader or initial goals&lt;p class='space'&gt;Little agreement&lt;p class='space'&gt;unclear purpose&lt;p class='space'&gt;(Guidance and direction)`, `HRM360-CH08`],</v>
      </c>
    </row>
    <row r="231" spans="1:4" ht="45">
      <c r="A231" s="3" t="s">
        <v>940</v>
      </c>
      <c r="B231" s="5" t="s">
        <v>946</v>
      </c>
      <c r="C231" s="3" t="s">
        <v>704</v>
      </c>
      <c r="D231" s="3" t="str">
        <f>"[`" &amp; A231 &amp; "`,``,``,``,``, ``,`"  &amp; B231 &amp; "`, `" &amp; C231 &amp; "`]" &amp; IF(C232&lt;&gt;"",",","")</f>
        <v>[`Team formation - Storming:`,``,``,``,``, ``,`&lt;p class='space'&gt;Storming: People evaluate each other, conflict, and compete for roles/positions&lt;p class='space'&gt;Conflict&lt;p class='space'&gt;Increased clarity of purpose\(Power struggles, coaching) `, `HRM360-CH08`],</v>
      </c>
    </row>
    <row r="232" spans="1:4" ht="45">
      <c r="A232" s="3" t="s">
        <v>941</v>
      </c>
      <c r="B232" s="5" t="s">
        <v>1090</v>
      </c>
      <c r="C232" s="3" t="s">
        <v>704</v>
      </c>
      <c r="D232" s="3" t="str">
        <f>"[`" &amp; A232 &amp; "`,``,``,``,``, ``,`"  &amp; B232 &amp; "`, `" &amp; C232 &amp; "`]" &amp; IF(C233&lt;&gt;"",",","")</f>
        <v>[`Team formation - Norming:`,``,``,``,``, ``,`&lt;p class='space'&gt;Norming: Roles/responsibilities become clear and consensually accepted&lt;p class='space'&gt;Agreement and consensus&lt;p class='space'&gt;Clear roles and responsibilities&lt;p class='space'&gt;(Facilitation) `, `HRM360-CH08`],</v>
      </c>
    </row>
    <row r="233" spans="1:4" ht="45">
      <c r="A233" s="3" t="s">
        <v>942</v>
      </c>
      <c r="B233" s="5" t="s">
        <v>947</v>
      </c>
      <c r="C233" s="3" t="s">
        <v>704</v>
      </c>
      <c r="D233" s="3" t="str">
        <f>"[`" &amp; A233 &amp; "`,``,``,``,``, ``,`"  &amp; B233 &amp; "`, `" &amp; C233 &amp; "`]" &amp; IF(C234&lt;&gt;"",",","")</f>
        <v>[`Team formation - Performing:`,``,``,``,``, ``,`&lt;p class='space'&gt;Performing: Focus on goal attainment, adaptive and self-correcting\Clear vision and purpose&lt;p class='space'&gt;Focus on goal achievement&lt;p class='space'&gt;(Delegation)`, `HRM360-CH08`],</v>
      </c>
    </row>
    <row r="234" spans="1:4" ht="45">
      <c r="A234" s="3" t="s">
        <v>981</v>
      </c>
      <c r="B234" s="5" t="s">
        <v>948</v>
      </c>
      <c r="C234" s="3" t="s">
        <v>704</v>
      </c>
      <c r="D234" s="3" t="str">
        <f>"[`" &amp; A234 &amp; "`,``,``,``,``, ``,`"  &amp; B234 &amp; "`, `" &amp; C234 &amp; "`]" &amp; IF(C235&lt;&gt;"",",","")</f>
        <v>[`Team formation - Adjourning:`,``,``,``,``, ``,`&lt;p class='space'&gt;Adjourning: Team members move on&lt;p class='space'&gt;Good feelings about achievements&lt;p class='space'&gt;(Recognition)`, `HRM360-CH08`],</v>
      </c>
    </row>
    <row r="235" spans="1:4" ht="60">
      <c r="A235" s="3" t="s">
        <v>943</v>
      </c>
      <c r="B235" s="5" t="s">
        <v>949</v>
      </c>
      <c r="C235" s="3" t="s">
        <v>704</v>
      </c>
      <c r="D235" s="3" t="str">
        <f>"[`" &amp; A235 &amp; "`,``,``,``,``, ``,`"  &amp; B235 &amp; "`, `" &amp; C235 &amp; "`]" &amp; IF(C236&lt;&gt;"",",","")</f>
        <v>[`punctuated equilibrium model `,``,``,``,``, ``,`&lt;p class='space'&gt;The punctuated equilibrium model finds that groups will spend large periods of time at one stage, and then experience certain key events that rapidly accelerate development before settling on a new baseline group behavior `, `HRM360-CH08`],</v>
      </c>
    </row>
    <row r="236" spans="1:4" ht="120">
      <c r="A236" s="3" t="s">
        <v>945</v>
      </c>
      <c r="B236" s="5" t="s">
        <v>963</v>
      </c>
      <c r="C236" s="3" t="s">
        <v>704</v>
      </c>
      <c r="D236" s="3" t="str">
        <f>"[`" &amp; A236 &amp; "`,``,``,``,``, ``,`"  &amp; B236 &amp; "`, `" &amp; C236 &amp; "`]" &amp; IF(C237&lt;&gt;"",",","")</f>
        <v>[`Team cohesion`,``,``,``,``, ``,`&lt;p class='space'&gt;Team cohesion is the strength and extent of interpersonal connection existing among the members of a group. &lt;p class='space'&gt;It is this interpersonal bond that causes members to participate readily and remain motivated to accomplish the set goals. &lt;p class='space'&gt;Cohesive teams have an attitude of “we-ness”&lt;p class='space'&gt;team cohesion, which is attraction among members and a motivation to stay in the team&lt;p class='space'&gt;Cohesion can enhance engagement and team performance,   `, `HRM360-CH08`],</v>
      </c>
    </row>
    <row r="237" spans="1:4" ht="45">
      <c r="A237" s="3" t="s">
        <v>944</v>
      </c>
      <c r="B237" s="5" t="s">
        <v>950</v>
      </c>
      <c r="C237" s="3" t="s">
        <v>704</v>
      </c>
      <c r="D237" s="3" t="str">
        <f>"[`" &amp; A237 &amp; "`,``,``,``,``, ``,`"  &amp; B237 &amp; "`, `" &amp; C237 &amp; "`]" &amp; IF(C238&lt;&gt;"",",","")</f>
        <v>[`Factors that affect team cohesion:`,``,``,``,``, ``,`&lt;p class='space'&gt;Small group size, consensus on goals , interaction frequency, status, difficulty to join, intergroup competition, group-based rewards, distance&lt;`, `HRM360-CH08`],</v>
      </c>
    </row>
    <row r="238" spans="1:4" ht="30">
      <c r="A238" s="3" t="s">
        <v>951</v>
      </c>
      <c r="B238" s="5" t="s">
        <v>955</v>
      </c>
      <c r="C238" s="3" t="s">
        <v>704</v>
      </c>
      <c r="D238" s="3" t="str">
        <f>"[`" &amp; A238 &amp; "`,``,``,``,``, ``,`"  &amp; B238 &amp; "`, `" &amp; C238 &amp; "`]" &amp; IF(C239&lt;&gt;"",",","")</f>
        <v>[`Social Loafing`,``,``,``,``, ``,`&lt;p class='space'&gt;A primary threat to cohesion is social loafing, which is the tendency for individual effort to decline as group size increases; `, `HRM360-CH08`],</v>
      </c>
    </row>
    <row r="239" spans="1:4" ht="60">
      <c r="A239" s="3" t="s">
        <v>952</v>
      </c>
      <c r="B239" s="5" t="s">
        <v>956</v>
      </c>
      <c r="C239" s="3" t="s">
        <v>704</v>
      </c>
      <c r="D239" s="3" t="str">
        <f>"[`" &amp; A239 &amp; "`,``,``,``,``, ``,`"  &amp; B239 &amp; "`, `" &amp; C239 &amp; "`]" &amp; IF(C240&lt;&gt;"",",","")</f>
        <v>[`How to reduce the chance of social loafing?`,``,``,``,``, ``,`&lt;p class='space'&gt;Set group goals (gives common purpose), &lt;p class='space'&gt;peer evaluations, &lt;p class='space'&gt;allows members autonomy in deciding their roles, &lt;p class='space'&gt;identifying/rewarding individuals’ input into a group `, `HRM360-CH08`],</v>
      </c>
    </row>
    <row r="240" spans="1:4" ht="105">
      <c r="A240" s="3" t="s">
        <v>953</v>
      </c>
      <c r="B240" s="5" t="s">
        <v>957</v>
      </c>
      <c r="C240" s="3" t="s">
        <v>704</v>
      </c>
      <c r="D240" s="3" t="str">
        <f>"[`" &amp; A240 &amp; "`,``,``,``,``, ``,`"  &amp; B240 &amp; "`, `" &amp; C240 &amp; "`]" &amp; IF(C241&lt;&gt;"",",","")</f>
        <v>[`Virtual teams`,``,``,``,``, ``,`&lt;p class='space'&gt;Virtual teams work together over time and distance via electronic media to combine effort and achieve common goals.&lt;p class='space'&gt; Members of virtual teams report in from different locations, different organizations, and often different time zones and countries.&lt;p class='space'&gt;Advocates say virtual teams are very flexible and efficient because they are driven by information and skills, not by time and location.&lt;p class='space'&gt;`, `HRM360-CH08`],</v>
      </c>
    </row>
    <row r="241" spans="1:4" ht="150">
      <c r="A241" s="3" t="s">
        <v>954</v>
      </c>
      <c r="B241" s="5" t="s">
        <v>958</v>
      </c>
      <c r="C241" s="3" t="s">
        <v>704</v>
      </c>
      <c r="D241" s="3" t="str">
        <f>"[`" &amp; A241 &amp; "`,``,``,``,``, ``,`"  &amp; B241 &amp; "`, `" &amp; C241 &amp; "`]" &amp; IF(C242&lt;&gt;"",",","")</f>
        <v>[`Best Uses of Virtual Teams:`,``,``,``,``, ``,`&lt;p class='space'&gt;Virtual teams and distributed workers present many potential benefits:&lt;p class='space'&gt;reduced real estate costs (limited or no office space); &lt;p class='space'&gt;ability to leverage diverse knowledge, skills, and experience across geography and time (you don’t have to have an SAP expert in every office); &lt;p class='space'&gt;ability to share knowledge of diverse markets; &lt;p class='space'&gt;and reduced commuting and travel expenses. &lt;p class='space'&gt;The flexibility often afforded by virtual teams also can reduce work–life conflicts for employees, which some employers contend makes it easier for them to attract and retain talent.`, `HRM360-CH08`],</v>
      </c>
    </row>
    <row r="242" spans="1:4" ht="105">
      <c r="A242" s="3" t="s">
        <v>959</v>
      </c>
      <c r="B242" s="5" t="s">
        <v>961</v>
      </c>
      <c r="C242" s="3" t="s">
        <v>704</v>
      </c>
      <c r="D242" s="3" t="str">
        <f>"[`" &amp; A242 &amp; "`,``,``,``,``, ``,`"  &amp; B242 &amp; "`, `" &amp; C242 &amp; "`]" &amp; IF(C243&lt;&gt;"",",","")</f>
        <v>[`Obstacles for Virtual Teams`,``,``,``,``, ``,`&lt;p class='space'&gt;difficult for establish team cohesion&lt;p class='space'&gt;work satisfaction&lt;p class='space'&gt;trust&lt;p class='space'&gt;cooperative behavior,&lt;p class='space'&gt;commitment to team goals. &lt;p class='space'&gt;building team relationships is more difficult when members are geographically distributed.&lt;p class='space'&gt;Members of virtual teams also reported being unable to observe the nonverbal cues of other members and a lack of collegiality.`, `HRM360-CH08`],</v>
      </c>
    </row>
    <row r="243" spans="1:4" ht="409.5">
      <c r="A243" s="3" t="s">
        <v>960</v>
      </c>
      <c r="B243" s="5" t="s">
        <v>982</v>
      </c>
      <c r="C243" s="3" t="s">
        <v>704</v>
      </c>
      <c r="D243" s="3" t="str">
        <f>"[`" &amp; A243 &amp; "`,``,``,``,``, ``,`"  &amp; B243 &amp; "`, `" &amp; C243 &amp; "`]" &amp; IF(C244&lt;&gt;"",",","")</f>
        <v>[`Effective Virtual Team Participation and Management`,``,``,``,``, ``,`&lt;p class='space'&gt;Researchers and consultants agree about one aspect of virtual teams—there is no substitute for face-to-face contact.&lt;p class='space'&gt;Adapt your communications. based on team preferences for e-mail, texts, and phone calls. regularly scheduled calls (via Skype). Don’t just blanket everybody via e-mail—focus your message. Accommodate the different time zones in a fair and consistent manner.  &lt;p class='space'&gt;Share the love. Use technology to keep distributed workers in the loop. Acknowledging birthdays and recognizing accomplishments are especially important for those who are not regularly in the office. use Newsletters as a touch point and vehicle for communicating best practices and success stories.  &lt;p class='space'&gt;Develop productive relationships with key people on the team. This may require extra attention, communication, and travel, Key people are the ones you can lean on and the ones who will make or break the team assignment.  &lt;p class='space'&gt;Be a good partner. if team member is not employee, read them like true partners and not hired help.  &lt;p class='space'&gt;Be available. Managers and remote workers all need to know when people can be reached, where, and how. Let people know and make yourself available.  &lt;p class='space'&gt;Document the work. Allow work to be handed off from one zone to the next. Doing this effectively requires that both senders and receivers clearly specify what they have completed and what they need in each transfer.  &lt;p class='space'&gt;Provide updates. Even if you are not the boss, or your boss doesn’t ask for them, be sure to provide regular updates on your progress to the necessary team members.  &lt;p class='space'&gt;Select the right people. Effective virtual workers generally prefer and do well in interdependent work relationships, tend to be self starters and willing to take initiative. In contrasts with people who prefer to wait for instructions before taking action.  &lt;p class='space'&gt;Use your communication skills. Because so much communication is written, virtual team members must have excellent communication skills and write well in easy-to-understand and to-the-point language.`, `HRM360-CH08`],</v>
      </c>
    </row>
    <row r="244" spans="1:4" ht="30">
      <c r="A244" s="3" t="s">
        <v>966</v>
      </c>
      <c r="B244" s="5" t="s">
        <v>969</v>
      </c>
      <c r="C244" s="3" t="s">
        <v>718</v>
      </c>
      <c r="D244" s="3" t="str">
        <f>"[`" &amp; A244 &amp; "`,``,``,``,``, ``,`"  &amp; B244 &amp; "`, `" &amp; C244 &amp; "`]" &amp; IF(C245&lt;&gt;"",",","")</f>
        <v>[`Communication is:`,``,``,``,``, ``,`&lt;p class='space'&gt;Communication is the facilitation of a shared understanding of meaning in the mind of another person `, `HRM360-CH09`],</v>
      </c>
    </row>
    <row r="245" spans="1:4" ht="60">
      <c r="A245" s="3" t="s">
        <v>967</v>
      </c>
      <c r="B245" s="5" t="s">
        <v>970</v>
      </c>
      <c r="C245" s="3" t="s">
        <v>718</v>
      </c>
      <c r="D245" s="3" t="str">
        <f>"[`" &amp; A245 &amp; "`,``,``,``,``, ``,`"  &amp; B245 &amp; "`, `" &amp; C245 &amp; "`]" &amp; IF(C246&lt;&gt;"",",","")</f>
        <v>[`Communication serves four functions at work:`,``,``,``,``, ``,`&lt;p class='space'&gt;(1) Exercising control via authority and influence &lt;p class='space'&gt;(2) Eliciting motivation in others &lt;p class='space'&gt;(3) Facilitating emotional expression and support &lt;p class='space'&gt;(4) Providing information for decision making `, `HRM360-CH09`],</v>
      </c>
    </row>
    <row r="246" spans="1:4" ht="75">
      <c r="A246" s="5" t="s">
        <v>971</v>
      </c>
      <c r="B246" s="5" t="s">
        <v>975</v>
      </c>
      <c r="C246" s="3" t="s">
        <v>718</v>
      </c>
      <c r="D246" s="3" t="str">
        <f>"[`" &amp; A246 &amp; "`,``,``,``,``, ``,`"  &amp; B246 &amp; "`, `" &amp; C246 &amp; "`]" &amp; IF(C247&lt;&gt;"",",","")</f>
        <v>[`Communication - A message has two components: `,``,``,``,``, ``,`&lt;p class='space'&gt;(1) Cognition: Content in terms of words, ideas, symbols, concepts &lt;p class='space'&gt;(2) Affect: Emotion in terms of intensity, demeanor, gestures, discrete emotions (e.g., anger, joy)&lt;p class='space'&gt;The meaning of these two components to a receiver will vary based on how it travels through the communication process  `, `HRM360-CH09`],</v>
      </c>
    </row>
    <row r="247" spans="1:4" ht="105">
      <c r="A247" s="5" t="s">
        <v>972</v>
      </c>
      <c r="B247" s="5" t="s">
        <v>976</v>
      </c>
      <c r="C247" s="3" t="s">
        <v>718</v>
      </c>
      <c r="D247" s="3" t="str">
        <f>"[`" &amp; A247 &amp; "`,``,``,``,``, ``,`"  &amp; B247 &amp; "`, `" &amp; C247 &amp; "`]" &amp; IF(C248&lt;&gt;"",",","")</f>
        <v>[`Communication Process - Once encoded, a message is transmitted through:  `,``,``,``,``, ``,`&lt;p class='space'&gt;One of two types of general channels:&lt;p class='space'&gt;(1) Formal channels that are proscribed by organization’s policies, procedures, and design; this can be vertically upward or downward, and horizontally lateral &lt;p class='space'&gt;(2) Informal channels that are spontaneous, personal (between people), are regardless of anyone’s formal position; these often take the form of gossip or “grapevines” that arise when employees feel uninformed or lied to  `, `HRM360-CH09`],</v>
      </c>
    </row>
    <row r="248" spans="1:4" ht="90">
      <c r="A248" s="5" t="s">
        <v>973</v>
      </c>
      <c r="B248" s="5" t="s">
        <v>977</v>
      </c>
      <c r="C248" s="3" t="s">
        <v>718</v>
      </c>
      <c r="D248" s="3" t="str">
        <f>"[`" &amp; A248 &amp; "`,``,``,``,``, ``,`"  &amp; B248 &amp; "`, `" &amp; C248 &amp; "`]" &amp; IF(C249&lt;&gt;"",",","")</f>
        <v>[`Communication Process - capacity vs richness `,``,``,``,``, ``,`&lt;p class='space'&gt;Face to face has the highest richness but the lowest data capacity.&lt;p class='space'&gt;highest to lowest richness&lt;p class='space'&gt;Face-to-face&lt;p class='space'&gt;telephone&lt;p class='space'&gt;e-mail&lt;p class='space'&gt;individualized letter&lt;p class='space'&gt;personalized memo&lt;p class='space'&gt;formal written report&lt;p class='space'&gt;flyer of bulletin&lt;p class='space'&gt;formal numeric report`, `HRM360-CH09`],</v>
      </c>
    </row>
    <row r="249" spans="1:4" ht="60">
      <c r="A249" s="5" t="s">
        <v>974</v>
      </c>
      <c r="B249" s="5" t="s">
        <v>978</v>
      </c>
      <c r="C249" s="3" t="s">
        <v>718</v>
      </c>
      <c r="D249" s="3" t="str">
        <f>"[`" &amp; A249 &amp; "`,``,``,``,``, ``,`"  &amp; B249 &amp; "`, `" &amp; C249 &amp; "`]" &amp; IF(C250&lt;&gt;"",",","")</f>
        <v>[`Nonverbal Communication `,``,``,``,``, ``,`&lt;p class='space'&gt;Although most of our communication is verbal (oral or written), between 65-90% of the meaning in a given message is communicated nonverbally &lt;p class='space'&gt;Nonverbal communication is highly sensitive to sender/receiver characteristics, and context `, `HRM360-CH09`],</v>
      </c>
    </row>
    <row r="250" spans="1:4" ht="135">
      <c r="A250" s="3" t="s">
        <v>983</v>
      </c>
      <c r="B250" s="5" t="s">
        <v>1006</v>
      </c>
      <c r="C250" s="3" t="s">
        <v>718</v>
      </c>
      <c r="D250" s="3" t="str">
        <f>"[`" &amp; A250 &amp; "`,``,``,``,``, ``,`"  &amp; B250 &amp; "`, `" &amp; C250 &amp; "`]" &amp; IF(C251&lt;&gt;"",",","")</f>
        <v>[`Four types of nonverbal communication:`,``,``,``,``, ``,`&lt;p class='space'&gt;(1) Kinesics: Body movement and posture (e.g., clenching fists when stressed, “the finger”, hand-shaking &lt;p class='space'&gt;(2) Face/Eye Behavior: Often reveal emotions, behavioral intentions, and provide cues to the receiver; eye contact and smiling can enhance active listening and empathy &lt;p class='space'&gt;(3) Paralanguage: Variations in speech such as pitch, loudness, tempo, tone, duration, laughing, and crying&lt;p class='space'&gt;(4) Proximity: Physical closeness is an indicator of social/intimate closeness; receivers can be put in intimate, personal (e.g., friends), social, or public “zones”  `, `HRM360-CH09`],</v>
      </c>
    </row>
    <row r="251" spans="1:4" ht="90">
      <c r="A251" s="3" t="s">
        <v>984</v>
      </c>
      <c r="B251" s="5" t="s">
        <v>985</v>
      </c>
      <c r="C251" s="3" t="s">
        <v>718</v>
      </c>
      <c r="D251" s="3" t="str">
        <f>"[`" &amp; A251 &amp; "`,``,``,``,``, ``,`"  &amp; B251 &amp; "`, `" &amp; C251 &amp; "`]" &amp; IF(C252&lt;&gt;"",",","")</f>
        <v>[`Barriers to communication - perceptual filters `,``,``,``,``, ``,`&lt;p class='space'&gt;When perceiving communication from others, people have perceptual filters that affect how they experience and react to that communication; these filters can be psychological, experiential, or situational &lt;p class='space'&gt;Examples: Age, gender, values, beliefs, experiences, personality, cultural biases, needs, time pressures, excessive stimulation, moods, etc. `, `HRM360-CH09`],</v>
      </c>
    </row>
    <row r="252" spans="1:4" ht="120">
      <c r="A252" s="5" t="s">
        <v>987</v>
      </c>
      <c r="B252" s="5" t="s">
        <v>988</v>
      </c>
      <c r="C252" s="3" t="s">
        <v>718</v>
      </c>
      <c r="D252" s="3" t="str">
        <f>"[`" &amp; A252 &amp; "`,``,``,``,``, ``,`"  &amp; B252 &amp; "`, `" &amp; C252 &amp; "`]" &amp; IF(C253&lt;&gt;"",",","")</f>
        <v>[`Barriers to communication - Three common perceptual tendencies: `,``,``,``,``, ``,`&lt;p class='space'&gt;Selective perception: People tend to notice and accept information that is consistent with their existing beliefs, values, and expectations&lt;p class='space'&gt; &lt;p class='space'&gt;Attribution errors: People tend to either attribute others’ behavior to either external causes (defensive bias) or internal causes (fundamental attribution error), ignoring or downplaying the other&lt;p class='space'&gt; &lt;p class='space'&gt;Self-serving bias: Tendency to attribute our own successes to internal causes, and our own failures to external causes `, `HRM360-CH09`],</v>
      </c>
    </row>
    <row r="253" spans="1:4" ht="105">
      <c r="A253" s="5" t="s">
        <v>986</v>
      </c>
      <c r="B253" s="5" t="s">
        <v>989</v>
      </c>
      <c r="C253" s="3" t="s">
        <v>718</v>
      </c>
      <c r="D253" s="3" t="str">
        <f>"[`" &amp; A253 &amp; "`,``,``,``,``, ``,`"  &amp; B253 &amp; "`, `" &amp; C253 &amp; "`]" &amp; IF(C254&lt;&gt;"",",","")</f>
        <v>[`Barriers to communication - Other barriers:`,``,``,``,``, ``,`&lt;p class='space'&gt;Status differences: Intimidated when communicating upward or disinterested when downward &lt;p class='space'&gt;Gender: Different communication styles &lt;p class='space'&gt;Cultural diversity: Some place more importance on authority; many cultures have stereotypes of other cultures that create automatic perception barriers &lt;p class='space'&gt;Language: Cultural language, jargon and professional language can be efficient, but alienating to others `, `HRM360-CH09`],</v>
      </c>
    </row>
    <row r="254" spans="1:4" ht="45">
      <c r="A254" s="3" t="s">
        <v>990</v>
      </c>
      <c r="B254" s="5" t="s">
        <v>992</v>
      </c>
      <c r="C254" s="3" t="s">
        <v>718</v>
      </c>
      <c r="D254" s="3" t="str">
        <f>"[`" &amp; A254 &amp; "`,``,``,``,``, ``,`"  &amp; B254 &amp; "`, `" &amp; C254 &amp; "`]" &amp; IF(C255&lt;&gt;"",",","")</f>
        <v>[`Active listening is:`,``,``,``,``, ``,`&lt;p class='space'&gt;Active listening is seeking to fully understand the sender’s intended message, rather than focusing only on one’s response to the message `, `HRM360-CH09`],</v>
      </c>
    </row>
    <row r="255" spans="1:4" ht="90">
      <c r="A255" s="3" t="s">
        <v>991</v>
      </c>
      <c r="B255" s="5" t="s">
        <v>1007</v>
      </c>
      <c r="C255" s="3" t="s">
        <v>718</v>
      </c>
      <c r="D255" s="3" t="str">
        <f>"[`" &amp; A255 &amp; "`,``,``,``,``, ``,`"  &amp; B255 &amp; "`, `" &amp; C255 &amp; "`]" &amp; IF(C256&lt;&gt;"",",","")</f>
        <v>[`Four types of responses facilitate active listening:`,``,``,``,``, ``,`&lt;p class='space'&gt;(1) Affirming contact: Communicate attentiveness, not necessarily agreement-lets person know your are listening – very non verbal &lt;p class='space'&gt;(2) Paraphrasing: Repeat message back in own words &lt;p class='space'&gt;(3) Clarify the implicit: Verbalize unsaid emotions/thoughts &lt;p class='space'&gt;(4) Reflect core feelings: Identify underlying values empathize at a deeper level  (Not on exam)  `, `HRM360-CH09`],</v>
      </c>
    </row>
    <row r="256" spans="1:4" ht="105">
      <c r="A256" s="5" t="s">
        <v>1003</v>
      </c>
      <c r="B256" s="5" t="s">
        <v>1004</v>
      </c>
      <c r="C256" s="3" t="s">
        <v>718</v>
      </c>
      <c r="D256" s="3" t="str">
        <f>"[`" &amp; A256 &amp; "`,``,``,``,``, ``,`"  &amp; B256 &amp; "`, `" &amp; C256 &amp; "`]" &amp; IF(C257&lt;&gt;"",",","")</f>
        <v>[`Ways to improve your active listening skills: `,``,``,``,``, ``,`&lt;p class='space'&gt;Stop talking &lt;p class='space'&gt;Put the speaker at ease &lt;p class='space'&gt;Show the speaker you want to listen &lt;p class='space'&gt;Remove distractions &lt;p class='space'&gt;Empathize with the speaker &lt;p class='space'&gt;Be patient &lt;p class='space'&gt;Hold your temper &lt;p class='space'&gt;Go easy on criticism &lt;p class='space'&gt;Ask questions, paraphrase, and clarify &lt;p class='space'&gt;Stop talking! Be sure the speaker has finished before you talk`, `HRM360-CH09`],</v>
      </c>
    </row>
    <row r="257" spans="1:4" ht="105">
      <c r="A257" s="3" t="s">
        <v>1005</v>
      </c>
      <c r="B257" s="5" t="s">
        <v>1008</v>
      </c>
      <c r="C257" s="3" t="s">
        <v>718</v>
      </c>
      <c r="D257" s="3" t="str">
        <f>"[`" &amp; A257 &amp; "`,``,``,``,``, ``,`"  &amp; B257 &amp; "`, `" &amp; C257 &amp; "`]" &amp; IF(C258&lt;&gt;"",",","")</f>
        <v>[`Assertive communication`,``,``,``,``, ``,`&lt;p class='space'&gt;Assertive communication: which is direct, clear, informative, respectful.&lt;p class='space'&gt;The key is self-control when communicating:  &lt;p class='space'&gt;Make your statement, then ask for opinions and wait until some have been voiced fully before responding &lt;p class='space'&gt;Minimize self-deprecation (unless being humorous) &lt;p class='space'&gt;Use “I” statements &lt;p class='space'&gt;Judge the behavior, not the person`, `HRM360-CH09`],</v>
      </c>
    </row>
    <row r="258" spans="1:4" ht="60">
      <c r="A258" s="3" t="s">
        <v>1015</v>
      </c>
      <c r="B258" s="5" t="s">
        <v>1030</v>
      </c>
      <c r="C258" s="3" t="s">
        <v>1061</v>
      </c>
      <c r="D258" s="3" t="str">
        <f>"[`" &amp; A258 &amp; "`,``,``,``,``, ``,`"  &amp; B258 &amp; "`, `" &amp; C258 &amp; "`]" &amp; IF(C259&lt;&gt;"",",","")</f>
        <v>[`Decision-making two types:`,``,``,``,``, ``,`&lt;p class='space'&gt;(1) Programmatic decisions are routine and based on established decision rules (most decisions programmatic)&lt;p class='space'&gt;(2) Non-programmatic decisions require creative solutions – requires conscious deliberations`, `HRM360-CH11`],</v>
      </c>
    </row>
    <row r="259" spans="1:4" ht="120">
      <c r="A259" s="3" t="s">
        <v>1016</v>
      </c>
      <c r="B259" s="5" t="s">
        <v>1031</v>
      </c>
      <c r="C259" s="3" t="s">
        <v>1061</v>
      </c>
      <c r="D259" s="3" t="str">
        <f>"[`" &amp; A259 &amp; "`,``,``,``,``, ``,`"  &amp; B259 &amp; "`, `" &amp; C259 &amp; "`]" &amp; IF(C260&lt;&gt;"",",","")</f>
        <v>[`Rational decision-making - six steps:`,``,``,``,``, ``,`&lt;p class='space'&gt;Rational decision-making is a systematic process of defining problems, evaluating alternatives, and choosing optimal solutions&lt;p class='space'&gt;(1) Define the problem &lt;p class='space'&gt;(2) Identify decision criteria (standards to be met) &lt;p class='space'&gt;(3) Weight the criteria in terms of value/importance &lt;p class='space'&gt;(4) Generate alternative courses of action &lt;p class='space'&gt;(5) Evaluate each alternative against each criterion &lt;p class='space'&gt;(6) Compute the optimal decision `, `HRM360-CH11`],</v>
      </c>
    </row>
    <row r="260" spans="1:4" ht="75">
      <c r="A260" s="3" t="s">
        <v>1017</v>
      </c>
      <c r="B260" s="5" t="s">
        <v>1018</v>
      </c>
      <c r="C260" s="3" t="s">
        <v>1061</v>
      </c>
      <c r="D260" s="3" t="str">
        <f>"[`" &amp; A260 &amp; "`,``,``,``,``, ``,`"  &amp; B260 &amp; "`, `" &amp; C260 &amp; "`]" &amp; IF(C261&lt;&gt;"",",","")</f>
        <v>[`Rational decision model strengths/weaknesses: `,``,``,``,``, ``,`&lt;p class='space'&gt;Strengths:&lt;p class='space'&gt; Careful – thoughtful -encourages deliberation, avoids jumping into first accessible conclusion &lt;p class='space'&gt;Weaknesses:&lt;p class='space'&gt; Takes time, limits to human information processing,  requires a lot of data/info, may change weight of alternatives retroactively `, `HRM360-CH11`],</v>
      </c>
    </row>
    <row r="261" spans="1:4" ht="90">
      <c r="A261" s="3" t="s">
        <v>1019</v>
      </c>
      <c r="B261" s="5" t="s">
        <v>1024</v>
      </c>
      <c r="C261" s="3" t="s">
        <v>1061</v>
      </c>
      <c r="D261" s="3" t="str">
        <f>"[`" &amp; A261 &amp; "`,``,``,``,``, ``,`"  &amp; B261 &amp; "`, `" &amp; C261 &amp; "`]" &amp; IF(C262&lt;&gt;"",",","")</f>
        <v>[`Rational decision model assumptions:`,``,``,``,``, ``,`&lt;p class='space'&gt;The rational model assumes: &lt;p class='space'&gt;(1) The outcome will be rational (not emotional or unpredicted) &lt;p class='space'&gt;(2) The decision maker has a consistent set of preferences &lt;p class='space'&gt;(3) The decision maker is aware of all possible alternatives &lt;p class='space'&gt;(4) The decision maker can calculate probability of success for each alternative `, `HRM360-CH11`],</v>
      </c>
    </row>
    <row r="262" spans="1:4" ht="210">
      <c r="A262" s="3" t="s">
        <v>1025</v>
      </c>
      <c r="B262" s="5" t="s">
        <v>1091</v>
      </c>
      <c r="C262" s="3" t="s">
        <v>1061</v>
      </c>
      <c r="D262" s="3" t="str">
        <f>"[`" &amp; A262 &amp; "`,``,``,``,``, ``,`"  &amp; B262 &amp; "`, `" &amp; C262 &amp; "`]" &amp; IF(C263&lt;&gt;"",",","")</f>
        <v>[`Bounded Rationality`,``,``,``,``, ``,`&lt;p class='space'&gt;When making decisions, people are limited by their cognitive ability and group processes &lt;p class='space'&gt;The bounded rationality model recognizes that most people/groups make decisions by constructing simplified models that extract the essential features from problems without capturing all their complexity&lt;p class='space'&gt;Bounded rationality is the idea that we make decisions that are rational, but within the limits of the information available to us and our mental capabilities.&lt;p class='space'&gt;Economists who think of us as ‘boundedly rational’ don’t see us as an ‘economic superman’, or homo economics that spends his life optimizing the happiness created by every decision. &lt;p class='space'&gt;Instead, they see us as satisficers — as people who choose the option that will satisfy their needs and wants without putting too much effort into making sure they’ve considering every single possibility.`, `HRM360-CH11`],</v>
      </c>
    </row>
    <row r="263" spans="1:4" ht="105">
      <c r="A263" s="3" t="s">
        <v>1026</v>
      </c>
      <c r="B263" s="5" t="s">
        <v>1027</v>
      </c>
      <c r="C263" s="3" t="s">
        <v>1061</v>
      </c>
      <c r="D263" s="3" t="str">
        <f>"[`" &amp; A263 &amp; "`,``,``,``,``, ``,`"  &amp; B263 &amp; "`, `" &amp; C263 &amp; "`]" &amp; IF(C265&lt;&gt;"",",","")</f>
        <v>[`Bounded Rationality - Assumptions:`,``,``,``,``, ``,`&lt;p class='space'&gt;Bounded rationality assumes people: &lt;p class='space'&gt;(1) Select the first satisfactory alternative (satisficing) because costs (time, effort) are too high to optimize the decision &lt;p class='space'&gt;(2) Recognize that their conception of the world is simple &lt;p class='space'&gt;(3) Are comfortable making decisions without determining all the alternatives &lt;p class='space'&gt;(4) Make decisions by “rules of thumb” or heuristics because they save mental energy. `, `HRM360-CH11`],</v>
      </c>
    </row>
    <row r="264" spans="1:4" ht="90">
      <c r="A264" s="5" t="s">
        <v>1028</v>
      </c>
      <c r="B264" s="5" t="s">
        <v>1057</v>
      </c>
      <c r="C264" s="3" t="s">
        <v>1061</v>
      </c>
      <c r="D264" s="3" t="str">
        <f>"[`" &amp; A264 &amp; "`,``,``,``,``, ``,`"  &amp; B264 &amp; "`, `" &amp; C264 &amp; "`]" &amp; IF(C265&lt;&gt;"",",","")</f>
        <v>[`Heuristics `,``,``,``,``, ``,`&lt;p class='space'&gt;A heuristic technique is any approach to problem solving or self-discovery that employs a practical method that is not guaranteed to be optimal, perfect or rational, but which is nevertheless sufficient for reaching an immediate, short-term goal.&lt;p class='space'&gt;Where finding an optimal solution is impossible or impractical, heuristic methods can be used to speed up the process of finding a satisfactory solution.`, `HRM360-CH11`],</v>
      </c>
    </row>
    <row r="265" spans="1:4" ht="75">
      <c r="A265" s="5" t="s">
        <v>1059</v>
      </c>
      <c r="B265" s="5" t="s">
        <v>1058</v>
      </c>
      <c r="C265" s="3" t="s">
        <v>1061</v>
      </c>
      <c r="D265" s="3" t="str">
        <f>"[`" &amp; A265 &amp; "`,``,``,``,``, ``,`"  &amp; B265 &amp; "`, `" &amp; C265 &amp; "`]" &amp; IF(C266&lt;&gt;"",",","")</f>
        <v>[`Heuristics - Examples:`,``,``,``,``, ``,`&lt;p class='space'&gt;Examples that employ heuristics include using:&lt;p class='space'&gt; trial and error&lt;p class='space'&gt; a rule of thumb&lt;p class='space'&gt; an educated guess&lt;p class='space'&gt; an intuitive judgment&lt;p class='space'&gt; a guesstimate&lt;p class='space'&gt; profiling&lt;p class='space'&gt; common sense. `, `HRM360-CH11`],</v>
      </c>
    </row>
    <row r="266" spans="1:4" ht="135">
      <c r="A266" s="3" t="s">
        <v>1092</v>
      </c>
      <c r="B266" s="5" t="s">
        <v>1029</v>
      </c>
      <c r="C266" s="3" t="s">
        <v>1061</v>
      </c>
      <c r="D266" s="3" t="str">
        <f>"[`" &amp; A266 &amp; "`,``,``,``,``, ``,`"  &amp; B266 &amp; "`, `" &amp; C266 &amp; "`]" &amp; IF(C267&lt;&gt;"",",","")</f>
        <v>[`Heuristics and biases:`,``,``,``,``, ``,`&lt;p class='space'&gt;Reliance on heuristics, impulses, and even intuition (where not well-honed), can lead to biases:&lt;p class='space'&gt;&lt;p class='space'&gt;(1)  Overconfidence in one’s personal judgment/cognition &lt;p class='space'&gt;(2)  Anchoring decisions based on initial information &lt;p class='space'&gt;(3)  Seeking/accepting information that offers confirmation of our past or present experiences  &lt;p class='space'&gt;(4)  Base judgments on readily available information &lt;p class='space'&gt;(5)  Believing we can predict the outcomes of randomness &lt;p class='space'&gt;(6) Believing in hindsight that one was accurate  `, `HRM360-CH11`],</v>
      </c>
    </row>
    <row r="267" spans="1:4" ht="120">
      <c r="A267" s="3" t="s">
        <v>1060</v>
      </c>
      <c r="B267" s="5" t="s">
        <v>1066</v>
      </c>
      <c r="C267" s="3" t="s">
        <v>1061</v>
      </c>
      <c r="D267" s="3" t="str">
        <f>"[`" &amp; A267 &amp; "`,``,``,``,``, ``,`"  &amp; B267 &amp; "`, `" &amp; C267 &amp; "`]" &amp; IF(C268&lt;&gt;"",",","")</f>
        <v>[`What is Satisficing?`,``,``,``,``, ``,`&lt;p class='space'&gt;Selecting the first satisfactory alternative - because costs (time, effort) are too high to optimize the decision&lt;p class='space'&gt;Satisficing is a decision-making strategy that aims for a satisfactory or adequate result, rather than the optimal solution. Instead of putting maximum exertion toward attaining the ideal outcome, satisficing focuses on pragmatic effort when confronted with tasks.&lt;p class='space'&gt;This is because aiming for the optimal solution may necessitate a needless expenditure of time, energy, and resources.`, `HRM360-CH11`],</v>
      </c>
    </row>
    <row r="268" spans="1:4" ht="135">
      <c r="A268" s="3" t="s">
        <v>1032</v>
      </c>
      <c r="B268" s="5" t="s">
        <v>1040</v>
      </c>
      <c r="C268" s="3" t="s">
        <v>1061</v>
      </c>
      <c r="D268" s="3" t="str">
        <f>"[`" &amp; A268 &amp; "`,``,``,``,``, ``,`"  &amp; B268 &amp; "`, `" &amp; C268 &amp; "`]" &amp; IF(C269&lt;&gt;"",",","")</f>
        <v>[`What is the Framing Effect?`,``,``,``,``, ``,`&lt;p class='space'&gt;The Framing effect is the principle that our choices are influenced by the way they are framed through different wordings, settings, and situations. &lt;p class='space'&gt;How does it happen? &lt;p class='space'&gt;Which one of these products would you pick: &lt;p class='space'&gt;A ‘95% effective’ condom or a ‘5% failure’ condom? &lt;p class='space'&gt;‘80% lean’ ground beef or ‘20%’ fat ground beef? &lt;p class='space'&gt;&lt;p class='space'&gt;Most people would be more likely to choose the first option in both cases, even though the two choices are identical.`, `HRM360-CH11`],</v>
      </c>
    </row>
    <row r="269" spans="1:4" ht="285">
      <c r="A269" s="3" t="s">
        <v>1041</v>
      </c>
      <c r="B269" s="5" t="s">
        <v>1051</v>
      </c>
      <c r="C269" s="3" t="s">
        <v>1061</v>
      </c>
      <c r="D269" s="3" t="str">
        <f>"[`" &amp; A269 &amp; "`,``,``,``,``, ``,`"  &amp; B269 &amp; "`, `" &amp; C269 &amp; "`]" &amp; IF(C270&lt;&gt;"",",","")</f>
        <v>[`Escalation of commitment - aka Commitment Bias`,``,``,``,``, ``,`&lt;p class='space'&gt;Escalation of commitment - aka Commitment Bias, is the tendency to continue supporting a decision (or series of decisions) even though it is failing to reach the desired goal.  &lt;p class='space'&gt;Reasons for escalation of commitment from the slides: Cognitive dissonance, optimism, desire for control, low self-esteem, lack of affirmation for other ideas. &lt;p class='space'&gt;Escalation of commitment is a human behavior pattern in which an individual or group facing increasingly negative outcomes from a decision, action, or investment nevertheless continues the behavior instead of altering course.&lt;p class='space'&gt;As a byproduct of confirmation bias, we rarely seek out disconfirming evidence of what we believe. Instead, we tend to interpret evidence in a way that makes our past ideas seem better than they truly were. When we only seek out favorable evidence, it becomes easier to maintain our positive self-image.&lt;p class='space'&gt;Similar to sunk cost fallacy: Individuals commit the sunk cost fallacy when they continue a behavior or endeavor as a result of previously invested resources (time, money or effort) (Arkes &amp; Blumer, 1985). This fallacy, which is related to loss aversion and status quo bias, can also be viewed as bias resulting from an ongoing commitment.`, `HRM360-CH11`],</v>
      </c>
    </row>
    <row r="270" spans="1:4" ht="75">
      <c r="A270" s="3" t="s">
        <v>1042</v>
      </c>
      <c r="B270" s="5" t="s">
        <v>1043</v>
      </c>
      <c r="C270" s="3" t="s">
        <v>1061</v>
      </c>
      <c r="D270" s="3" t="str">
        <f>"[`" &amp; A270 &amp; "`,``,``,``,``, ``,`"  &amp; B270 &amp; "`, `" &amp; C270 &amp; "`]" &amp; IF(C271&lt;&gt;"",",","")</f>
        <v>[`What can be done to manage these decision-making biases and individual differences?`,``,``,``,``, ``,`&lt;p class='space'&gt;(1) Having access to accurate information sources &lt;p class='space'&gt;(2) Comprehensive strategizing and goal-setting &lt;p class='space'&gt;(3) Seeking dis-confirmation of initial conclusions, and generating further alternatives &lt;p class='space'&gt;(4) Having others review one’s reasoning `, `HRM360-CH11`],</v>
      </c>
    </row>
    <row r="271" spans="1:4" ht="90">
      <c r="A271" s="3" t="s">
        <v>1044</v>
      </c>
      <c r="B271" s="5" t="s">
        <v>1049</v>
      </c>
      <c r="C271" s="3" t="s">
        <v>1061</v>
      </c>
      <c r="D271" s="3" t="str">
        <f>"[`" &amp; A271 &amp; "`,``,``,``,``, ``,`"  &amp; B271 &amp; "`, `" &amp; C271 &amp; "`]" &amp; IF(C272&lt;&gt;"",",","")</f>
        <v>[`Group Decisions - Advantages and Disadvantages`,``,``,``,``, ``,`&lt;p class='space'&gt;Advantages:&lt;p class='space'&gt;(1) More knowledge by pooling member resources &lt;p class='space'&gt;(2) Increased commitment to decisions &lt;p class='space'&gt;(3) Greater understanding of the decision&lt;p class='space'&gt;Disadvantages&lt;p class='space'&gt;(1) Pressure for conformity (groupthink) &lt;p class='space'&gt;(2) Domination by forceful members &lt;p class='space'&gt;(3) Time and organization requirements  `, `HRM360-CH11`],</v>
      </c>
    </row>
    <row r="272" spans="1:4" ht="120">
      <c r="A272" s="3" t="s">
        <v>1050</v>
      </c>
      <c r="B272" s="5" t="s">
        <v>1052</v>
      </c>
      <c r="C272" s="3" t="s">
        <v>1061</v>
      </c>
      <c r="D272" s="3" t="str">
        <f>"[`" &amp; A272 &amp; "`,``,``,``,``, ``,`"  &amp; B272 &amp; "`, `" &amp; C272 &amp; "`]" &amp; IF(C273&lt;&gt;"",",","")</f>
        <v>[`Groupthink, what is it?`,``,``,``,``, ``,`&lt;p class='space'&gt;Groupthink is the practice of thinking or making decisions as a group in a way that discourages creativity or individual responsibility.&lt;p class='space'&gt;Strong group cohesion will lead to groupthink: &lt;p class='space'&gt;If structural faults exist: insulation, homogeneity of backgrounds, shared mindsets, the group normatively uses directive leadership &lt;p class='space'&gt;If a high pressure context is present: stress from external threats, low self-esteem from recent failures, time pressure, perceptions of task difficulty, important task `, `HRM360-CH11`],</v>
      </c>
    </row>
    <row r="273" spans="1:4" ht="45">
      <c r="A273" s="5" t="s">
        <v>1053</v>
      </c>
      <c r="B273" s="5" t="s">
        <v>1054</v>
      </c>
      <c r="C273" s="3" t="s">
        <v>1061</v>
      </c>
      <c r="D273" s="3" t="str">
        <f>"[`" &amp; A273 &amp; "`,``,``,``,``, ``,`"  &amp; B273 &amp; "`, `" &amp; C273 &amp; "`]" &amp; IF(C274&lt;&gt;"",",","")</f>
        <v>[`How can groupthink be reduced? `,``,``,``,``, ``,`&lt;p class='space'&gt;Create subgroups, &lt;p class='space'&gt;outside experts, &lt;p class='space'&gt;appoint devil’s advocate, &lt;p class='space'&gt;rethink position once consensus is reached `, `HRM360-CH11`],</v>
      </c>
    </row>
    <row r="274" spans="1:4" ht="90">
      <c r="A274" s="3" t="s">
        <v>1055</v>
      </c>
      <c r="B274" s="5" t="s">
        <v>1056</v>
      </c>
      <c r="C274" s="3" t="s">
        <v>1061</v>
      </c>
      <c r="D274" s="3" t="str">
        <f>"[`" &amp; A274 &amp; "`,``,``,``,``, ``,`"  &amp; B274 &amp; "`, `" &amp; C274 &amp; "`]" &amp; IF(C275&lt;&gt;"",",","")</f>
        <v>[`Groupthink notes:`,``,``,``,``, ``,`&lt;p class='space'&gt;Groupthink is not totally accurate:&lt;p class='space'&gt;Group cohesion does not necessarily precede groupthink since…&lt;p class='space'&gt; … directive leadership by itself leads to the restriction of consideration of alternatives&lt;p class='space'&gt; Other variables that influence groupthink: norms, leader power, task characteristics, stage of group development `, `HRM360-CH11`],</v>
      </c>
    </row>
    <row r="275" spans="1:4">
      <c r="A275" s="3" t="s">
        <v>1062</v>
      </c>
      <c r="B275" s="5" t="s">
        <v>1067</v>
      </c>
      <c r="C275" s="3" t="s">
        <v>1063</v>
      </c>
      <c r="D275" s="3" t="str">
        <f>"[`" &amp; A275 &amp; "`,``,``,``,``, ``,`"  &amp; B275 &amp; "`, `" &amp; C275 &amp; "`]" &amp; IF(C276&lt;&gt;"",",","")</f>
        <v>[`When group members feel comfortable disagreeing with other group members`,``,``,``,``, ``,`&lt;p class='space'&gt;Minority dissent `, `HRM360-CH11-book`],</v>
      </c>
    </row>
    <row r="276" spans="1:4" ht="60">
      <c r="A276" s="3" t="s">
        <v>1064</v>
      </c>
      <c r="B276" s="5" t="s">
        <v>1068</v>
      </c>
      <c r="C276" s="3" t="s">
        <v>1063</v>
      </c>
      <c r="D276" s="3" t="str">
        <f>"[`" &amp; A276 &amp; "`,``,``,``,``, ``,`"  &amp; B276 &amp; "`, `" &amp; C276 &amp; "`]" &amp; IF(C277&lt;&gt;"",",","")</f>
        <v>[`Intuition `,``,``,``,``, ``,`&lt;p class='space'&gt;Intuition consists of judgments, insights, or decisions that “come to mind on their own, without explicit awareness of the evoking cues and of course without explicit evaluation of the validity of these cues.”&lt;p class='space'&gt;We all have the ability to use intuition.`, `HRM360-CH11-book`],</v>
      </c>
    </row>
    <row r="277" spans="1:4" ht="60">
      <c r="A277" s="3" t="s">
        <v>1065</v>
      </c>
      <c r="B277" s="5" t="s">
        <v>1069</v>
      </c>
      <c r="C277" s="3" t="s">
        <v>1063</v>
      </c>
      <c r="D277" s="3" t="str">
        <f>"[`" &amp; A277 &amp; "`,``,``,``,``, ``,`"  &amp; B277 &amp; "`, `" &amp; C277 &amp; "`]" &amp; IF(C278&lt;&gt;"",",","")</f>
        <v>[`Expertice vs tacit knowledge`,``,``,``,``, ``,`&lt;p class='space'&gt;Expertise is an individual’s combined explicit knowledge or information that can easily be put into words, and &lt;p class='space'&gt;tacit knowledge or information we gain through experience that is difficult to express and formalize.`, `HRM360-CH11-book`],</v>
      </c>
    </row>
    <row r="278" spans="1:4" ht="45">
      <c r="A278" s="3" t="s">
        <v>1070</v>
      </c>
      <c r="B278" s="5" t="s">
        <v>1093</v>
      </c>
      <c r="C278" s="3" t="s">
        <v>1063</v>
      </c>
      <c r="D278" s="3" t="str">
        <f>"[`" &amp; A278 &amp; "`,``,``,``,``, ``,`"  &amp; B278 &amp; "`, `" &amp; C278 &amp; "`]" &amp; IF(C279&lt;&gt;"",",","")</f>
        <v>[`Electronic brainstorming - aka brainwriting`,``,``,``,``, ``,`&lt;p class='space'&gt;Electronic brainstorming, sometimes called brainwriting, allows participants to submit their ideas and alternatives over a computer network. Webinars work well for this purpose.`, `HRM360-CH11-book`],</v>
      </c>
    </row>
    <row r="279" spans="1:4" ht="45">
      <c r="A279" s="3" t="s">
        <v>1071</v>
      </c>
      <c r="B279" s="5" t="s">
        <v>1094</v>
      </c>
      <c r="C279" s="3" t="s">
        <v>1063</v>
      </c>
      <c r="D279" s="3" t="str">
        <f>"[`" &amp; A279 &amp; "`,``,``,``,``, ``,`"  &amp; B279 &amp; "`, `" &amp; C279 &amp; "`]" &amp; IF(C280&lt;&gt;"",",","")</f>
        <v>[`The Delphi technique`,``,``,``,``, ``,`&lt;p class='space'&gt;The Delphi technique is a group process that generates anonymous ideas or judgments from physically dispersed experts in multiple rounds of brainstorming.`, `HRM360-CH11-book`],</v>
      </c>
    </row>
    <row r="280" spans="1:4" ht="45">
      <c r="A280" s="3" t="s">
        <v>1072</v>
      </c>
      <c r="B280" s="5" t="s">
        <v>1095</v>
      </c>
      <c r="C280" s="3" t="s">
        <v>1063</v>
      </c>
      <c r="D280" s="3" t="str">
        <f>"[`" &amp; A280 &amp; "`,``,``,``,``, ``,`"  &amp; B280 &amp; "`, `" &amp; C280 &amp; "`]" &amp; IF(C281&lt;&gt;"",",","")</f>
        <v>[` Decision support systems`,``,``,``,``, ``,`&lt;p class='space'&gt;Decision support systems (DSS) are “computer-based interactive systems that help decision makers to use data and models to solve unstructured problems`, `HRM360-CH11-book`]</v>
      </c>
    </row>
    <row r="281" spans="1:4">
      <c r="D281" s="3" t="str">
        <f>"[`" &amp; A281 &amp; "`,``,``,``,``, ``,`"  &amp; B281 &amp; "`, `" &amp; C281 &amp; "`]" &amp; IF(C282&lt;&gt;"",",","")</f>
        <v>[``,``,``,``,``, ``,``, ``]</v>
      </c>
    </row>
    <row r="282" spans="1:4">
      <c r="D282" s="3" t="str">
        <f>"[`" &amp; A282 &amp; "`,``,``,``,``, ``,`"  &amp; B282 &amp; "`, `" &amp; C282 &amp; "`]" &amp; IF(C283&lt;&gt;"",",","")</f>
        <v>[``,``,``,``,``, ``,``, ``]</v>
      </c>
    </row>
    <row r="283" spans="1:4">
      <c r="D283" s="3" t="str">
        <f>"[`" &amp; A283 &amp; "`,``,``,``,``, ``,`"  &amp; B283 &amp; "`, `" &amp; C283 &amp; "`]" &amp; IF(C284&lt;&gt;"",",","")</f>
        <v>[``,``,``,``,``, ``,``, ``]</v>
      </c>
    </row>
    <row r="284" spans="1:4">
      <c r="D284" s="3" t="str">
        <f>"[`" &amp; A284 &amp; "`,``,``,``,``, ``,`"  &amp; B284 &amp; "`, `" &amp; C284 &amp; "`]" &amp; IF(C285&lt;&gt;"",",","")</f>
        <v>[``,``,``,``,``, ``,``, ``]</v>
      </c>
    </row>
    <row r="285" spans="1:4">
      <c r="D285" s="3" t="str">
        <f>"[`" &amp; A285 &amp; "`,``,``,``,``, ``,`"  &amp; B285 &amp; "`, `" &amp; C285 &amp; "`]" &amp; IF(C286&lt;&gt;"",",","")</f>
        <v>[``,``,``,``,``, ``,``, ``]</v>
      </c>
    </row>
    <row r="286" spans="1:4">
      <c r="D286" s="3" t="str">
        <f>"[`" &amp; A286 &amp; "`,``,``,``,``, ``,`"  &amp; B286 &amp; "`, `" &amp; C286 &amp; "`]" &amp; IF(C287&lt;&gt;"",",","")</f>
        <v>[``,``,``,``,``, ``,``, ``],</v>
      </c>
    </row>
    <row r="287" spans="1:4" ht="120">
      <c r="A287" s="3" t="s">
        <v>1075</v>
      </c>
      <c r="B287" s="5" t="s">
        <v>1085</v>
      </c>
      <c r="C287" s="3" t="s">
        <v>1009</v>
      </c>
      <c r="D287" s="3" t="str">
        <f>"[`" &amp; A287 &amp; "`,``,``,``,``, ``,`"  &amp; B287 &amp; "`, `" &amp; C287 &amp; "`]" &amp; IF(C288&lt;&gt;"",",","")</f>
        <v>[`Conditioning`,``,``,``,``, ``,`&lt;p class='space'&gt; Operant conditioning, (used by organizations) instrumental conditioning. a process of changing behavior by rewarding or punishing a subject each time an action is performed until the subject associates the action with pleasure or distress.&lt;p class='space'&gt;Classical conditioning, Pavlovian conditioning, respondent conditioning. a process in which a stimulus that was previously neutral, as the sound of a bell, comes to evoke a particular response, as salivation, by being repeatedly paired with another stimulus that normally evokes the response, as the taste of food.`, `HRM360-CH06`],</v>
      </c>
    </row>
    <row r="288" spans="1:4">
      <c r="A288" s="3" t="s">
        <v>1081</v>
      </c>
      <c r="B288" s="5" t="s">
        <v>1086</v>
      </c>
      <c r="C288" s="3" t="s">
        <v>1009</v>
      </c>
      <c r="D288" s="3" t="str">
        <f t="shared" ref="D288:D290" si="0">"[`" &amp; A288 &amp; "`,``,``,``,``, ``,`"  &amp; B288 &amp; "`, `" &amp; C288 &amp; "`]" &amp; IF(C289&lt;&gt;"",",","")</f>
        <v>[`Setting goals together -`,``,``,``,``, ``,`&lt;p class='space'&gt;Will more likely develop more difficult goals.`, `HRM360-CH06`]</v>
      </c>
    </row>
    <row r="289" spans="4:4">
      <c r="D289" s="3" t="str">
        <f t="shared" si="0"/>
        <v>[``,``,``,``,``, ``,``, ``]</v>
      </c>
    </row>
    <row r="290" spans="4:4">
      <c r="D290" s="3" t="str">
        <f t="shared" si="0"/>
        <v>[``,``,``,``,``, ``,``, ``]</v>
      </c>
    </row>
  </sheetData>
  <autoFilter ref="A1:D290" xr:uid="{1FF23012-9E81-401A-988D-FBEDA03A7DD0}">
    <sortState ref="A2:D286">
      <sortCondition ref="C1:C286"/>
    </sortState>
  </autoFilter>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FAF8-9894-4B08-9B2B-2284B6B6761D}">
  <dimension ref="A1:A10"/>
  <sheetViews>
    <sheetView workbookViewId="0">
      <selection sqref="A1:A10"/>
    </sheetView>
  </sheetViews>
  <sheetFormatPr defaultRowHeight="15"/>
  <sheetData>
    <row r="1" spans="1:1">
      <c r="A1" t="s">
        <v>993</v>
      </c>
    </row>
    <row r="2" spans="1:1">
      <c r="A2" t="s">
        <v>994</v>
      </c>
    </row>
    <row r="3" spans="1:1">
      <c r="A3" t="s">
        <v>995</v>
      </c>
    </row>
    <row r="4" spans="1:1">
      <c r="A4" t="s">
        <v>996</v>
      </c>
    </row>
    <row r="5" spans="1:1">
      <c r="A5" t="s">
        <v>997</v>
      </c>
    </row>
    <row r="6" spans="1:1">
      <c r="A6" t="s">
        <v>998</v>
      </c>
    </row>
    <row r="7" spans="1:1">
      <c r="A7" t="s">
        <v>999</v>
      </c>
    </row>
    <row r="8" spans="1:1">
      <c r="A8" t="s">
        <v>1000</v>
      </c>
    </row>
    <row r="9" spans="1:1">
      <c r="A9" t="s">
        <v>1001</v>
      </c>
    </row>
    <row r="10" spans="1:1">
      <c r="A10" t="s">
        <v>1002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ED342-28AA-434A-B29B-55E56DDB3A6C}">
  <sheetPr filterMode="1"/>
  <dimension ref="A1:D401"/>
  <sheetViews>
    <sheetView zoomScaleNormal="100" workbookViewId="0">
      <pane ySplit="198" topLeftCell="A199" activePane="bottomLeft" state="frozen"/>
      <selection pane="bottomLeft" activeCell="B263" sqref="B263"/>
    </sheetView>
  </sheetViews>
  <sheetFormatPr defaultRowHeight="15"/>
  <cols>
    <col min="1" max="1" width="51.5703125" customWidth="1"/>
    <col min="2" max="2" width="63.85546875" customWidth="1"/>
    <col min="3" max="3" width="16.85546875" customWidth="1"/>
    <col min="4" max="4" width="34.7109375" customWidth="1"/>
  </cols>
  <sheetData>
    <row r="1" spans="1:4">
      <c r="A1" s="2" t="s">
        <v>77</v>
      </c>
      <c r="B1" s="3" t="s">
        <v>129</v>
      </c>
      <c r="C1" s="3" t="s">
        <v>78</v>
      </c>
      <c r="D1" s="3" t="s">
        <v>119</v>
      </c>
    </row>
    <row r="2" spans="1:4" hidden="1">
      <c r="A2" s="3" t="s">
        <v>67</v>
      </c>
      <c r="B2" s="3" t="s">
        <v>197</v>
      </c>
      <c r="C2" s="3" t="s">
        <v>118</v>
      </c>
      <c r="D2" s="3" t="str">
        <f t="shared" ref="D2:D65" si="0">"[`" &amp; A2 &amp; "`,``,``,``,``, ``,`"  &amp; B2 &amp; "`, `" &amp; C2 &amp; "`]" &amp; IF(C3&lt;&gt;"",",","")</f>
        <v>[`What is Organizational behavior?`,``,``,``,``, ``,`&lt;p class='space'&gt;the study of individual behavior and group dynamics in organizations`, `HRM360-ch1`],</v>
      </c>
    </row>
    <row r="3" spans="1:4" ht="135" hidden="1">
      <c r="A3" s="3" t="s">
        <v>68</v>
      </c>
      <c r="B3" s="5" t="s">
        <v>198</v>
      </c>
      <c r="C3" s="3" t="s">
        <v>118</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hidden="1">
      <c r="A4" s="3" t="s">
        <v>120</v>
      </c>
      <c r="B4" s="3" t="s">
        <v>215</v>
      </c>
      <c r="C4" s="3" t="s">
        <v>118</v>
      </c>
      <c r="D4" s="3" t="str">
        <f t="shared" si="0"/>
        <v>[`The importance of technical skill verses personal skills changes over one's career. How? PP ch1 slide 6`,``,``,``,``, ``,`&lt;p class='space'&gt;Initially technical skills are of the greatest importance, but eventually personal skills become more important.`, `HRM360-ch1`],</v>
      </c>
    </row>
    <row r="5" spans="1:4" hidden="1">
      <c r="A5" s="3" t="s">
        <v>121</v>
      </c>
      <c r="B5" s="3" t="s">
        <v>216</v>
      </c>
      <c r="C5" s="3" t="s">
        <v>118</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60" hidden="1">
      <c r="A6" s="3" t="s">
        <v>122</v>
      </c>
      <c r="B6" s="5" t="s">
        <v>217</v>
      </c>
      <c r="C6" s="3" t="s">
        <v>118</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60" hidden="1">
      <c r="A7" s="3" t="s">
        <v>123</v>
      </c>
      <c r="B7" s="5" t="s">
        <v>218</v>
      </c>
      <c r="C7" s="3" t="s">
        <v>118</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45" hidden="1">
      <c r="A8" s="5" t="s">
        <v>127</v>
      </c>
      <c r="B8" s="5" t="s">
        <v>219</v>
      </c>
      <c r="C8" s="3" t="s">
        <v>118</v>
      </c>
      <c r="D8" s="3" t="str">
        <f t="shared" si="0"/>
        <v>[`Two Sides of Organizations - Formal organization   `,``,``,``,``, ``,`&lt;p class='space'&gt;Formal organization   (overt) Goals and objectives  Policies and procedures  Job descriptions  Financial resources  Authority structure  Communication channels  Products and services`, `HRM360-ch1`],</v>
      </c>
    </row>
    <row r="9" spans="1:4" ht="45" hidden="1">
      <c r="A9" s="5" t="s">
        <v>128</v>
      </c>
      <c r="B9" s="5" t="s">
        <v>220</v>
      </c>
      <c r="C9" s="3" t="s">
        <v>118</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`HRM360-ch1`],</v>
      </c>
    </row>
    <row r="10" spans="1:4" ht="60" hidden="1">
      <c r="A10" s="3" t="s">
        <v>124</v>
      </c>
      <c r="B10" s="5" t="s">
        <v>221</v>
      </c>
      <c r="C10" s="3" t="s">
        <v>118</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`HRM360-ch1`],</v>
      </c>
    </row>
    <row r="11" spans="1:4" ht="105" hidden="1">
      <c r="A11" s="3" t="s">
        <v>125</v>
      </c>
      <c r="B11" s="5" t="s">
        <v>222</v>
      </c>
      <c r="C11" s="3" t="s">
        <v>118</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60" hidden="1">
      <c r="A12" s="3" t="s">
        <v>126</v>
      </c>
      <c r="B12" s="5" t="s">
        <v>223</v>
      </c>
      <c r="C12" s="3" t="s">
        <v>118</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105" hidden="1">
      <c r="A13" s="3" t="s">
        <v>130</v>
      </c>
      <c r="B13" s="5" t="s">
        <v>224</v>
      </c>
      <c r="C13" s="3" t="s">
        <v>118</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75" hidden="1">
      <c r="A14" s="3" t="s">
        <v>132</v>
      </c>
      <c r="B14" s="5" t="s">
        <v>141</v>
      </c>
      <c r="C14" s="3" t="s">
        <v>118</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hidden="1">
      <c r="A15" s="3" t="s">
        <v>133</v>
      </c>
      <c r="B15" s="3" t="s">
        <v>225</v>
      </c>
      <c r="C15" s="3" t="s">
        <v>118</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hidden="1">
      <c r="A16" s="3" t="s">
        <v>134</v>
      </c>
      <c r="B16" s="3" t="s">
        <v>226</v>
      </c>
      <c r="C16" s="3" t="s">
        <v>118</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hidden="1">
      <c r="A17" s="3" t="s">
        <v>135</v>
      </c>
      <c r="B17" s="3" t="s">
        <v>227</v>
      </c>
      <c r="C17" s="3" t="s">
        <v>118</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hidden="1">
      <c r="A18" s="3" t="s">
        <v>136</v>
      </c>
      <c r="B18" s="3" t="s">
        <v>196</v>
      </c>
      <c r="C18" s="3" t="s">
        <v>118</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hidden="1">
      <c r="A19" s="3" t="s">
        <v>137</v>
      </c>
      <c r="B19" s="3" t="s">
        <v>140</v>
      </c>
      <c r="C19" s="3" t="s">
        <v>118</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hidden="1">
      <c r="A20" s="3" t="s">
        <v>138</v>
      </c>
      <c r="B20" s="3" t="s">
        <v>263</v>
      </c>
      <c r="C20" s="3" t="s">
        <v>118</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hidden="1">
      <c r="A21" s="3" t="s">
        <v>139</v>
      </c>
      <c r="B21" s="3" t="s">
        <v>228</v>
      </c>
      <c r="C21" s="3" t="s">
        <v>118</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hidden="1">
      <c r="A22" s="3" t="s">
        <v>193</v>
      </c>
      <c r="B22" s="3" t="s">
        <v>264</v>
      </c>
      <c r="C22" s="3" t="s">
        <v>118</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270" hidden="1">
      <c r="A23" s="3" t="s">
        <v>142</v>
      </c>
      <c r="B23" s="5" t="s">
        <v>229</v>
      </c>
      <c r="C23" s="3" t="s">
        <v>131</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45" hidden="1">
      <c r="A24" s="3" t="s">
        <v>143</v>
      </c>
      <c r="B24" s="5" t="s">
        <v>327</v>
      </c>
      <c r="C24" s="3" t="s">
        <v>131</v>
      </c>
      <c r="D24" s="3" t="str">
        <f t="shared" si="0"/>
        <v>[`Values are shaped by?`,``,``,``,``, ``,`&lt;p class='space'&gt;a combination of nature (e.g., genetics) and nurture (e.g., upbringing, experiences) , making them unique from each&lt;p class='space'&gt;values are NOT the same as personality`, `HRM360-ch2`],</v>
      </c>
    </row>
    <row r="25" spans="1:4" ht="75" hidden="1">
      <c r="A25" s="3" t="s">
        <v>144</v>
      </c>
      <c r="B25" s="5" t="s">
        <v>230</v>
      </c>
      <c r="C25" s="3" t="s">
        <v>131</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45" hidden="1">
      <c r="A26" s="3" t="s">
        <v>145</v>
      </c>
      <c r="B26" s="5" t="s">
        <v>231</v>
      </c>
      <c r="C26" s="3" t="s">
        <v>131</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45" hidden="1">
      <c r="A27" s="5" t="s">
        <v>146</v>
      </c>
      <c r="B27" s="5" t="s">
        <v>232</v>
      </c>
      <c r="C27" s="3" t="s">
        <v>131</v>
      </c>
      <c r="D27" s="3" t="str">
        <f t="shared" si="0"/>
        <v>[`Values - There are three general approaches:`,``,``,``,``, ``,`&lt;p class='space'&gt;Provide opportunities to fulfill values&lt;p class='space'&gt;Find people’s with matching values&lt;p class='space'&gt;Develop new values in our workers`, `HRM360-ch2`],</v>
      </c>
    </row>
    <row r="28" spans="1:4" hidden="1">
      <c r="A28" s="3" t="s">
        <v>147</v>
      </c>
      <c r="B28" s="3" t="s">
        <v>233</v>
      </c>
      <c r="C28" s="3" t="s">
        <v>131</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hidden="1">
      <c r="A29" s="3" t="s">
        <v>194</v>
      </c>
      <c r="B29" s="3" t="s">
        <v>234</v>
      </c>
      <c r="C29" s="3" t="s">
        <v>131</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105" hidden="1">
      <c r="A30" s="3" t="s">
        <v>148</v>
      </c>
      <c r="B30" s="5" t="s">
        <v>235</v>
      </c>
      <c r="C30" s="3" t="s">
        <v>131</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hidden="1">
      <c r="A31" s="3" t="s">
        <v>149</v>
      </c>
      <c r="B31" s="3" t="s">
        <v>236</v>
      </c>
      <c r="C31" s="3" t="s">
        <v>131</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hidden="1">
      <c r="A32" s="3" t="s">
        <v>150</v>
      </c>
      <c r="B32" s="3" t="s">
        <v>265</v>
      </c>
      <c r="C32" s="3" t="s">
        <v>131</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60" hidden="1">
      <c r="A33" s="3" t="s">
        <v>151</v>
      </c>
      <c r="B33" s="5" t="s">
        <v>237</v>
      </c>
      <c r="C33" s="3" t="s">
        <v>131</v>
      </c>
      <c r="D33" s="3" t="str">
        <f t="shared" si="0"/>
        <v>[`Job satisfaction`,``,``,``,``, ``,`&lt;p class='space'&gt;Job satisfaction is a positive emotional state resulting from one’s appraisal or evaluation of his or her job, and the parts of that job, and has ramifications for many types of employee behavior `, `HRM360-ch2`],</v>
      </c>
    </row>
    <row r="34" spans="1:4" hidden="1">
      <c r="A34" s="3" t="s">
        <v>152</v>
      </c>
      <c r="B34" s="3" t="s">
        <v>238</v>
      </c>
      <c r="C34" s="3" t="s">
        <v>131</v>
      </c>
      <c r="D34" s="3" t="str">
        <f t="shared" si="0"/>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hidden="1">
      <c r="A35" s="3" t="s">
        <v>152</v>
      </c>
      <c r="B35" s="3" t="s">
        <v>239</v>
      </c>
      <c r="C35" s="3" t="s">
        <v>131</v>
      </c>
      <c r="D35" s="3" t="str">
        <f t="shared" si="0"/>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hidden="1">
      <c r="A36" s="3" t="s">
        <v>266</v>
      </c>
      <c r="B36" s="3" t="s">
        <v>268</v>
      </c>
      <c r="C36" s="3" t="s">
        <v>131</v>
      </c>
      <c r="D36" s="3" t="str">
        <f t="shared" si="0"/>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hidden="1">
      <c r="A37" s="3" t="s">
        <v>153</v>
      </c>
      <c r="B37" s="3" t="s">
        <v>240</v>
      </c>
      <c r="C37" s="3" t="s">
        <v>131</v>
      </c>
      <c r="D37" s="3" t="str">
        <f t="shared" si="0"/>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hidden="1">
      <c r="A38" s="3" t="s">
        <v>154</v>
      </c>
      <c r="B38" s="3" t="s">
        <v>241</v>
      </c>
      <c r="C38" s="3" t="s">
        <v>131</v>
      </c>
      <c r="D38" s="3" t="str">
        <f t="shared" si="0"/>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05" hidden="1">
      <c r="A39" s="3" t="s">
        <v>155</v>
      </c>
      <c r="B39" s="5" t="s">
        <v>328</v>
      </c>
      <c r="C39" s="3" t="s">
        <v>131</v>
      </c>
      <c r="D39" s="3" t="str">
        <f t="shared" si="0"/>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75" hidden="1">
      <c r="A40" s="3" t="s">
        <v>156</v>
      </c>
      <c r="B40" s="5" t="s">
        <v>242</v>
      </c>
      <c r="C40" s="3" t="s">
        <v>131</v>
      </c>
      <c r="D40" s="3" t="str">
        <f t="shared" si="0"/>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60" hidden="1">
      <c r="A41" s="5" t="s">
        <v>158</v>
      </c>
      <c r="B41" s="5" t="s">
        <v>243</v>
      </c>
      <c r="C41" s="3" t="s">
        <v>131</v>
      </c>
      <c r="D41" s="3" t="str">
        <f t="shared" si="0"/>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165" hidden="1">
      <c r="A42" s="3" t="s">
        <v>157</v>
      </c>
      <c r="B42" s="5" t="s">
        <v>329</v>
      </c>
      <c r="C42" s="3" t="s">
        <v>131</v>
      </c>
      <c r="D42" s="3" t="str">
        <f t="shared" si="0"/>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405" hidden="1">
      <c r="A43" s="3" t="s">
        <v>159</v>
      </c>
      <c r="B43" s="5" t="s">
        <v>281</v>
      </c>
      <c r="C43" s="3" t="s">
        <v>131</v>
      </c>
      <c r="D43" s="3" t="str">
        <f t="shared" si="0"/>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hidden="1">
      <c r="A44" s="3" t="s">
        <v>269</v>
      </c>
      <c r="B44" s="3" t="s">
        <v>244</v>
      </c>
      <c r="C44" s="3" t="s">
        <v>131</v>
      </c>
      <c r="D44" s="3" t="str">
        <f t="shared" si="0"/>
        <v>[`Value wheel - what are the four poles? (key info)`,``,``,``,``, ``,`&lt;p class='space'&gt;Self-transcendence - Self-Enhancement&lt;p class='space'&gt;Openness to Change - Conservation`, `HRM360-ch2`],</v>
      </c>
    </row>
    <row r="45" spans="1:4" hidden="1">
      <c r="A45" s="3" t="s">
        <v>160</v>
      </c>
      <c r="B45" s="3" t="s">
        <v>245</v>
      </c>
      <c r="C45" s="3" t="s">
        <v>131</v>
      </c>
      <c r="D45" s="3" t="str">
        <f t="shared" si="0"/>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hidden="1">
      <c r="A46" s="3" t="s">
        <v>161</v>
      </c>
      <c r="B46" s="3" t="s">
        <v>246</v>
      </c>
      <c r="C46" s="3" t="s">
        <v>131</v>
      </c>
      <c r="D46" s="3" t="str">
        <f t="shared" si="0"/>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75" hidden="1">
      <c r="A47" s="3" t="s">
        <v>169</v>
      </c>
      <c r="B47" s="5" t="s">
        <v>247</v>
      </c>
      <c r="C47" s="3" t="s">
        <v>131</v>
      </c>
      <c r="D47" s="3" t="str">
        <f t="shared" si="0"/>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hidden="1">
      <c r="A48" s="3" t="s">
        <v>170</v>
      </c>
      <c r="B48" s="3" t="s">
        <v>248</v>
      </c>
      <c r="C48" s="3" t="s">
        <v>131</v>
      </c>
      <c r="D48" s="3" t="str">
        <f t="shared" si="0"/>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90" hidden="1">
      <c r="A49" s="3" t="s">
        <v>162</v>
      </c>
      <c r="B49" s="5" t="s">
        <v>282</v>
      </c>
      <c r="C49" s="3" t="s">
        <v>131</v>
      </c>
      <c r="D49" s="3" t="str">
        <f t="shared" si="0"/>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75" hidden="1">
      <c r="A50" s="3" t="s">
        <v>163</v>
      </c>
      <c r="B50" s="5" t="s">
        <v>283</v>
      </c>
      <c r="C50" s="3" t="s">
        <v>131</v>
      </c>
      <c r="D50" s="3" t="str">
        <f t="shared" si="0"/>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hidden="1">
      <c r="A51" s="3" t="s">
        <v>164</v>
      </c>
      <c r="B51" s="3" t="s">
        <v>284</v>
      </c>
      <c r="C51" s="3" t="s">
        <v>131</v>
      </c>
      <c r="D51" s="3" t="str">
        <f t="shared" si="0"/>
        <v>[`Nature of values (2)`,``,``,``,``, ``,`&lt;p class='space'&gt;(2) Values refer to desirable goals that motivate action. &lt;p class='space'&gt;People for whom social order, justice, and helpfulness are important values are motivated to pursue these goals.`, `HRM360-ch2`],</v>
      </c>
    </row>
    <row r="52" spans="1:4" ht="75" hidden="1">
      <c r="A52" s="3" t="s">
        <v>165</v>
      </c>
      <c r="B52" s="5" t="s">
        <v>285</v>
      </c>
      <c r="C52" s="3" t="s">
        <v>131</v>
      </c>
      <c r="D52" s="3" t="str">
        <f t="shared" si="0"/>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120" hidden="1">
      <c r="A53" s="3" t="s">
        <v>166</v>
      </c>
      <c r="B53" s="5" t="s">
        <v>286</v>
      </c>
      <c r="C53" s="3" t="s">
        <v>131</v>
      </c>
      <c r="D53" s="3" t="str">
        <f t="shared" si="0"/>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90" hidden="1">
      <c r="A54" s="3" t="s">
        <v>167</v>
      </c>
      <c r="B54" s="5" t="s">
        <v>287</v>
      </c>
      <c r="C54" s="3" t="s">
        <v>131</v>
      </c>
      <c r="D54" s="3" t="str">
        <f t="shared" si="0"/>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120" hidden="1">
      <c r="A55" s="3" t="s">
        <v>168</v>
      </c>
      <c r="B55" s="5" t="s">
        <v>288</v>
      </c>
      <c r="C55" s="3" t="s">
        <v>131</v>
      </c>
      <c r="D55" s="3" t="str">
        <f t="shared" si="0"/>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hidden="1">
      <c r="A56" s="3" t="s">
        <v>171</v>
      </c>
      <c r="B56" s="3" t="s">
        <v>270</v>
      </c>
      <c r="C56" s="3" t="s">
        <v>131</v>
      </c>
      <c r="D56" s="3" t="str">
        <f t="shared" si="0"/>
        <v>[`Attitudes are?`,``,``,``,``, ``,`&lt;p class='space'&gt;Diet values, psychological tendencies, fleeting changes`, `HRM360-ch2`],</v>
      </c>
    </row>
    <row r="57" spans="1:4" hidden="1">
      <c r="A57" s="3" t="s">
        <v>172</v>
      </c>
      <c r="B57" s="3" t="s">
        <v>330</v>
      </c>
      <c r="C57" s="3" t="s">
        <v>131</v>
      </c>
      <c r="D57" s="3" t="str">
        <f t="shared" si="0"/>
        <v>[`Job satisfaction strongly correlates with turnover`,``,``,``,``, ``,`&lt;p class='space'&gt;Negatively with turnover, the more satisfied someone is with their job the lower the tendency to quit job.`, `HRM360-ch2`],</v>
      </c>
    </row>
    <row r="58" spans="1:4" ht="135" hidden="1">
      <c r="A58" s="3" t="s">
        <v>186</v>
      </c>
      <c r="B58" s="5" t="s">
        <v>249</v>
      </c>
      <c r="C58" s="3" t="s">
        <v>131</v>
      </c>
      <c r="D58" s="3" t="str">
        <f t="shared" si="0"/>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195" hidden="1">
      <c r="A59" s="3" t="s">
        <v>187</v>
      </c>
      <c r="B59" s="5" t="s">
        <v>289</v>
      </c>
      <c r="C59" s="3" t="s">
        <v>131</v>
      </c>
      <c r="D59" s="3" t="str">
        <f t="shared" si="0"/>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135" hidden="1">
      <c r="A60" s="3" t="s">
        <v>188</v>
      </c>
      <c r="B60" s="5" t="s">
        <v>250</v>
      </c>
      <c r="C60" s="3" t="s">
        <v>131</v>
      </c>
      <c r="D60" s="3" t="str">
        <f t="shared" si="0"/>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hidden="1">
      <c r="A61" s="3" t="s">
        <v>173</v>
      </c>
      <c r="B61" s="3" t="s">
        <v>251</v>
      </c>
      <c r="C61" s="3" t="s">
        <v>131</v>
      </c>
      <c r="D61" s="3" t="str">
        <f t="shared" si="0"/>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hidden="1">
      <c r="A62" s="3" t="s">
        <v>174</v>
      </c>
      <c r="B62" s="3" t="s">
        <v>252</v>
      </c>
      <c r="C62" s="3" t="s">
        <v>131</v>
      </c>
      <c r="D62" s="3" t="str">
        <f t="shared" si="0"/>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hidden="1">
      <c r="A63" s="3" t="s">
        <v>271</v>
      </c>
      <c r="B63" s="3" t="s">
        <v>253</v>
      </c>
      <c r="C63" s="3" t="s">
        <v>131</v>
      </c>
      <c r="D63" s="3" t="str">
        <f t="shared" si="0"/>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hidden="1">
      <c r="A64" s="3" t="s">
        <v>175</v>
      </c>
      <c r="B64" s="3" t="s">
        <v>254</v>
      </c>
      <c r="C64" s="3" t="s">
        <v>131</v>
      </c>
      <c r="D64" s="3" t="str">
        <f t="shared" si="0"/>
        <v>[`Cognitive dissonance`,``,``,``,``, ``,`&lt;p class='space'&gt;represents the psychological discomfort a person experiences when simultaneously holding two or more conflicting cognitions (ideas, beliefs, values, or emotions) .`, `HRM360-ch2`],</v>
      </c>
    </row>
    <row r="65" spans="1:4" hidden="1">
      <c r="A65" s="3" t="s">
        <v>176</v>
      </c>
      <c r="B65" s="3" t="s">
        <v>273</v>
      </c>
      <c r="C65" s="3" t="s">
        <v>131</v>
      </c>
      <c r="D65" s="3" t="str">
        <f t="shared" si="0"/>
        <v>[`What is the key link between attitudes and planned behavior`,``,``,``,``, ``,`&lt;p class='space'&gt;Intentions are the key link between attitudes and planned behavior, someone’s intention to engage in a given behavior is a strong predictor of that behavior. `, `HRM360-ch2`],</v>
      </c>
    </row>
    <row r="66" spans="1:4" hidden="1">
      <c r="A66" s="3" t="s">
        <v>177</v>
      </c>
      <c r="B66" s="3" t="s">
        <v>290</v>
      </c>
      <c r="C66" s="3" t="s">
        <v>131</v>
      </c>
      <c r="D66" s="3" t="str">
        <f t="shared" ref="D66:D129" si="1">"[`"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hidden="1">
      <c r="A67" s="3" t="s">
        <v>178</v>
      </c>
      <c r="B67" s="3" t="s">
        <v>255</v>
      </c>
      <c r="C67" s="3" t="s">
        <v>131</v>
      </c>
      <c r="D67" s="3" t="str">
        <f t="shared" si="1"/>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hidden="1">
      <c r="A68" s="3" t="s">
        <v>179</v>
      </c>
      <c r="B68" s="3" t="s">
        <v>274</v>
      </c>
      <c r="C68" s="3" t="s">
        <v>131</v>
      </c>
      <c r="D68" s="3" t="str">
        <f t="shared" si="1"/>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hidden="1">
      <c r="A69" s="3" t="s">
        <v>180</v>
      </c>
      <c r="B69" s="3" t="s">
        <v>275</v>
      </c>
      <c r="C69" s="3" t="s">
        <v>131</v>
      </c>
      <c r="D69" s="3" t="str">
        <f t="shared" si="1"/>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hidden="1">
      <c r="A70" s="3" t="s">
        <v>181</v>
      </c>
      <c r="B70" s="3" t="s">
        <v>256</v>
      </c>
      <c r="C70" s="3" t="s">
        <v>131</v>
      </c>
      <c r="D70" s="3" t="str">
        <f t="shared" si="1"/>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05" hidden="1">
      <c r="A71" s="10" t="s">
        <v>276</v>
      </c>
      <c r="B71" s="5" t="s">
        <v>272</v>
      </c>
      <c r="C71" s="3" t="s">
        <v>131</v>
      </c>
      <c r="D71" s="3" t="str">
        <f t="shared" si="1"/>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hidden="1">
      <c r="A72" s="3" t="s">
        <v>182</v>
      </c>
      <c r="B72" s="5" t="s">
        <v>257</v>
      </c>
      <c r="C72" s="3" t="s">
        <v>131</v>
      </c>
      <c r="D72" s="3" t="str">
        <f t="shared" si="1"/>
        <v>[`What Contributes to Employee Engagement? Two Factors:`,``,``,``,``, ``,`&lt;p class='space'&gt;Person Factors&lt;p class='space'&gt;Situation Factors  `, `HRM360-ch2`],</v>
      </c>
    </row>
    <row r="73" spans="1:4" ht="30" hidden="1">
      <c r="A73" s="3" t="s">
        <v>183</v>
      </c>
      <c r="B73" s="5" t="s">
        <v>258</v>
      </c>
      <c r="C73" s="3" t="s">
        <v>131</v>
      </c>
      <c r="D73" s="3" t="str">
        <f t="shared" si="1"/>
        <v>[`What Contributes to Employee Engagement? Person factors`,``,``,``,``, ``,`&lt;p class='space'&gt;Personality.&lt;p class='space'&gt;Positive psychological capital.&lt;p class='space'&gt;Human and social capital. `, `HRM360-ch2`],</v>
      </c>
    </row>
    <row r="74" spans="1:4" ht="150" hidden="1">
      <c r="A74" s="5" t="s">
        <v>189</v>
      </c>
      <c r="B74" s="5" t="s">
        <v>259</v>
      </c>
      <c r="C74" s="3" t="s">
        <v>131</v>
      </c>
      <c r="D74" s="3" t="str">
        <f t="shared" si="1"/>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90" hidden="1">
      <c r="A75" s="3" t="s">
        <v>184</v>
      </c>
      <c r="B75" s="5" t="s">
        <v>260</v>
      </c>
      <c r="C75" s="3" t="s">
        <v>131</v>
      </c>
      <c r="D75" s="3" t="str">
        <f t="shared" si="1"/>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hidden="1">
      <c r="A76" s="3" t="s">
        <v>185</v>
      </c>
      <c r="B76" s="3" t="s">
        <v>261</v>
      </c>
      <c r="C76" s="3" t="s">
        <v>131</v>
      </c>
      <c r="D76" s="3" t="str">
        <f t="shared" si="1"/>
        <v>[`Five Predominant Models of Job Satisfaction`,``,``,``,``, ``,`&lt;p class='space'&gt;(1) Need Fulfillment.&lt;p class='space'&gt;(2) Met Expectations.&lt;p class='space'&gt;(3) Value Attainment.&lt;p class='space'&gt;(4) Equity.`, `HRM360-ch2`],</v>
      </c>
    </row>
    <row r="77" spans="1:4" hidden="1">
      <c r="A77" s="3" t="s">
        <v>277</v>
      </c>
      <c r="B77" s="3" t="s">
        <v>262</v>
      </c>
      <c r="C77" s="3" t="s">
        <v>131</v>
      </c>
      <c r="D77" s="3" t="str">
        <f t="shared" si="1"/>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hidden="1">
      <c r="A78" s="3" t="s">
        <v>278</v>
      </c>
      <c r="B78" s="3" t="s">
        <v>291</v>
      </c>
      <c r="C78" s="3" t="s">
        <v>131</v>
      </c>
      <c r="D78" s="3" t="str">
        <f t="shared" si="1"/>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hidden="1">
      <c r="A79" s="3" t="s">
        <v>279</v>
      </c>
      <c r="B79" s="3" t="s">
        <v>292</v>
      </c>
      <c r="C79" s="3" t="s">
        <v>131</v>
      </c>
      <c r="D79" s="3" t="str">
        <f t="shared" si="1"/>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hidden="1">
      <c r="A80" s="3" t="s">
        <v>280</v>
      </c>
      <c r="B80" s="3" t="s">
        <v>293</v>
      </c>
      <c r="C80" s="3" t="s">
        <v>131</v>
      </c>
      <c r="D80" s="3" t="str">
        <f t="shared" si="1"/>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hidden="1">
      <c r="A81" s="3" t="s">
        <v>295</v>
      </c>
      <c r="B81" s="3" t="s">
        <v>296</v>
      </c>
      <c r="C81" s="3" t="s">
        <v>294</v>
      </c>
      <c r="D81" s="3" t="str">
        <f t="shared" si="1"/>
        <v>[`Traits`,``,``,``,``, ``,`Facets of you that allow your behaviors to be predicted- in weak situations. `, `HRM360-ch3`],</v>
      </c>
    </row>
    <row r="82" spans="1:4" hidden="1">
      <c r="A82" s="3" t="s">
        <v>299</v>
      </c>
      <c r="B82" s="3" t="s">
        <v>303</v>
      </c>
      <c r="C82" s="3" t="s">
        <v>294</v>
      </c>
      <c r="D82" s="3" t="str">
        <f t="shared" si="1"/>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hidden="1">
      <c r="A83" s="3" t="s">
        <v>297</v>
      </c>
      <c r="B83" s="3" t="s">
        <v>331</v>
      </c>
      <c r="C83" s="3" t="s">
        <v>294</v>
      </c>
      <c r="D83" s="3" t="str">
        <f t="shared" si="1"/>
        <v>[`Emotions`,``,``,``,``, ``,`&lt;p class='space'&gt;happen suddenly - affect your ability to focus. Dissipate quickly.`, `HRM360-ch3`],</v>
      </c>
    </row>
    <row r="84" spans="1:4" hidden="1">
      <c r="A84" s="3" t="s">
        <v>298</v>
      </c>
      <c r="B84" s="3" t="s">
        <v>304</v>
      </c>
      <c r="C84" s="3" t="s">
        <v>294</v>
      </c>
      <c r="D84" s="3" t="str">
        <f t="shared" si="1"/>
        <v>[`Moods`,``,``,``,``, ``,`&lt;p class='space'&gt;Lower key - slowly shape your thoughts all day.`, `HRM360-ch3`],</v>
      </c>
    </row>
    <row r="85" spans="1:4" ht="60" hidden="1">
      <c r="A85" s="3" t="s">
        <v>300</v>
      </c>
      <c r="B85" s="5" t="s">
        <v>305</v>
      </c>
      <c r="C85" s="3" t="s">
        <v>294</v>
      </c>
      <c r="D85" s="3" t="str">
        <f t="shared" si="1"/>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hidden="1">
      <c r="A86" s="3" t="s">
        <v>301</v>
      </c>
      <c r="B86" s="3" t="s">
        <v>332</v>
      </c>
      <c r="C86" s="3" t="s">
        <v>294</v>
      </c>
      <c r="D86" s="3" t="str">
        <f t="shared" si="1"/>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hidden="1">
      <c r="A87" s="3" t="s">
        <v>333</v>
      </c>
      <c r="B87" s="3"/>
      <c r="C87" s="3" t="s">
        <v>294</v>
      </c>
      <c r="D87" s="3" t="str">
        <f t="shared" si="1"/>
        <v>[`Affectivity original model`,``,``,``,``, ``,``, `HRM360-ch3`],</v>
      </c>
    </row>
    <row r="88" spans="1:4" ht="75" hidden="1">
      <c r="A88" s="3" t="s">
        <v>302</v>
      </c>
      <c r="B88" s="5" t="s">
        <v>312</v>
      </c>
      <c r="C88" s="3" t="s">
        <v>294</v>
      </c>
      <c r="D88" s="3" t="str">
        <f t="shared" si="1"/>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hidden="1">
      <c r="A89" s="3" t="s">
        <v>334</v>
      </c>
      <c r="B89" s="3" t="s">
        <v>306</v>
      </c>
      <c r="C89" s="3" t="s">
        <v>294</v>
      </c>
      <c r="D89" s="3" t="str">
        <f t="shared" si="1"/>
        <v>[`Positive/Negative Affectivity align with`,``,``,``,``, ``,`&lt;p class='space'&gt;Big five Neuroticism  and extroversion`, `HRM360-ch3`],</v>
      </c>
    </row>
    <row r="90" spans="1:4" hidden="1">
      <c r="A90" s="3" t="s">
        <v>319</v>
      </c>
      <c r="B90" s="3" t="s">
        <v>335</v>
      </c>
      <c r="C90" s="3" t="s">
        <v>294</v>
      </c>
      <c r="D90" s="3" t="str">
        <f t="shared" si="1"/>
        <v>[`What Are the Big Five Dimensions of Personality?  (Trait Theory)`,``,``,``,``, ``,`&lt;p class='space'&gt;Openness&lt;p class='space'&gt;Conscientiousness&lt;p class='space'&gt;Extraversion&lt;p class='space'&gt;Agreeableness&lt;p class='space'&gt;Neuroticism (emotional stability)`, `HRM360-ch3`],</v>
      </c>
    </row>
    <row r="91" spans="1:4" hidden="1">
      <c r="A91" s="3" t="s">
        <v>307</v>
      </c>
      <c r="B91" s="3" t="s">
        <v>309</v>
      </c>
      <c r="C91" s="3" t="s">
        <v>294</v>
      </c>
      <c r="D91" s="3" t="str">
        <f t="shared" si="1"/>
        <v>[`Employee burnout more likely when one has:`,``,``,``,``, ``,`&lt;p class='space'&gt;High negative affectivity`, `HRM360-ch3`],</v>
      </c>
    </row>
    <row r="92" spans="1:4" hidden="1">
      <c r="A92" s="3" t="s">
        <v>308</v>
      </c>
      <c r="B92" s="3" t="s">
        <v>310</v>
      </c>
      <c r="C92" s="3" t="s">
        <v>294</v>
      </c>
      <c r="D92" s="3" t="str">
        <f t="shared" si="1"/>
        <v>[`Least likely to burnout:`,``,``,``,``, ``,`&lt;p class='space'&gt;Low negative affectivity`, `HRM360-ch3`],</v>
      </c>
    </row>
    <row r="93" spans="1:4" ht="45" hidden="1">
      <c r="A93" s="3" t="s">
        <v>313</v>
      </c>
      <c r="B93" s="5" t="s">
        <v>314</v>
      </c>
      <c r="C93" s="3" t="s">
        <v>294</v>
      </c>
      <c r="D93" s="3" t="str">
        <f t="shared" si="1"/>
        <v>[`Emotional Intelligence - four dimensions`,``,``,``,``, ``,`&lt;p class='space'&gt;Self-awareness&lt;p class='space'&gt;Self-management&lt;p class='space'&gt;Social awareness&lt;p class='space'&gt;Relationship management`, `HRM360-ch3`],</v>
      </c>
    </row>
    <row r="94" spans="1:4" ht="90" hidden="1">
      <c r="A94" s="3" t="s">
        <v>311</v>
      </c>
      <c r="B94" s="5" t="s">
        <v>316</v>
      </c>
      <c r="C94" s="3" t="s">
        <v>294</v>
      </c>
      <c r="D94" s="3" t="str">
        <f t="shared" si="1"/>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60" hidden="1">
      <c r="A95" s="3" t="s">
        <v>315</v>
      </c>
      <c r="B95" s="5" t="s">
        <v>318</v>
      </c>
      <c r="C95" s="3" t="s">
        <v>294</v>
      </c>
      <c r="D95" s="3" t="str">
        <f t="shared" si="1"/>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hidden="1">
      <c r="A96" s="3" t="s">
        <v>317</v>
      </c>
      <c r="B96" s="3" t="s">
        <v>336</v>
      </c>
      <c r="C96" s="3" t="s">
        <v>294</v>
      </c>
      <c r="D96" s="3" t="str">
        <f t="shared" si="1"/>
        <v>[`What has impact on job performance`,``,``,``,``, ``,`&lt;p class='space'&gt;Cognitive ability * .44&lt;p class='space'&gt;conscientiousness *.22&lt;p class='space'&gt;emotional stability * .00`, `HRM360-ch3`],</v>
      </c>
    </row>
    <row r="97" spans="1:4" hidden="1">
      <c r="A97" s="3" t="s">
        <v>320</v>
      </c>
      <c r="B97" s="3" t="s">
        <v>351</v>
      </c>
      <c r="C97" s="3" t="s">
        <v>294</v>
      </c>
      <c r="D97" s="3" t="str">
        <f t="shared" si="1"/>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hidden="1">
      <c r="A98" s="3" t="s">
        <v>321</v>
      </c>
      <c r="B98" s="3" t="s">
        <v>366</v>
      </c>
      <c r="C98" s="3" t="s">
        <v>294</v>
      </c>
      <c r="D98" s="3" t="str">
        <f t="shared" si="1"/>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hidden="1">
      <c r="A99" s="3" t="s">
        <v>337</v>
      </c>
      <c r="B99" s="3" t="s">
        <v>352</v>
      </c>
      <c r="C99" s="3" t="s">
        <v>294</v>
      </c>
      <c r="D99" s="3" t="str">
        <f t="shared" si="1"/>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hidden="1">
      <c r="A100" s="3" t="s">
        <v>353</v>
      </c>
      <c r="B100" s="3" t="s">
        <v>367</v>
      </c>
      <c r="C100" s="3" t="s">
        <v>294</v>
      </c>
      <c r="D100" s="3" t="str">
        <f t="shared" si="1"/>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hidden="1">
      <c r="A101" s="3" t="s">
        <v>322</v>
      </c>
      <c r="B101" s="3" t="s">
        <v>368</v>
      </c>
      <c r="C101" s="3" t="s">
        <v>294</v>
      </c>
      <c r="D101" s="3" t="str">
        <f t="shared" si="1"/>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45" hidden="1">
      <c r="A102" s="3" t="s">
        <v>338</v>
      </c>
      <c r="B102" s="5" t="s">
        <v>343</v>
      </c>
      <c r="C102" s="3" t="s">
        <v>294</v>
      </c>
      <c r="D102" s="3" t="str">
        <f t="shared" si="1"/>
        <v>[`Locus of Control:`,``,``,``,``, ``,`&lt;p class='space'&gt;Locus of Control: Belief that the events in one’s life are mostly controlled either by oneself (internal) or by the situation or others (external) `, `HRM360-ch3`],</v>
      </c>
    </row>
    <row r="103" spans="1:4" ht="45" hidden="1">
      <c r="A103" s="3" t="s">
        <v>339</v>
      </c>
      <c r="B103" s="5" t="s">
        <v>344</v>
      </c>
      <c r="C103" s="3" t="s">
        <v>294</v>
      </c>
      <c r="D103" s="3" t="str">
        <f t="shared" si="1"/>
        <v>[`CSE - core self-evaluation`,``,``,``,``, ``,`&lt;p class='space'&gt;A person’s core self-evaluation is the degree to which a person evaluates his/her self (or self-concept) positively&lt;p class='space'&gt; `, `HRM360-ch3`],</v>
      </c>
    </row>
    <row r="104" spans="1:4" ht="45" hidden="1">
      <c r="A104" s="3" t="s">
        <v>340</v>
      </c>
      <c r="B104" s="5" t="s">
        <v>345</v>
      </c>
      <c r="C104" s="3" t="s">
        <v>294</v>
      </c>
      <c r="D104" s="3" t="str">
        <f t="shared" si="1"/>
        <v>[`Self-Esteem: `,``,``,``,``, ``,`&lt;p class='space'&gt;Self-Esteem: Overall feelings of self-worth; high self-esteem is associated with positive feelings and emphasizing strengths over weaknesses `, `HRM360-ch3`],</v>
      </c>
    </row>
    <row r="105" spans="1:4" hidden="1">
      <c r="A105" s="3" t="s">
        <v>341</v>
      </c>
      <c r="B105" s="3" t="s">
        <v>346</v>
      </c>
      <c r="C105" s="3" t="s">
        <v>294</v>
      </c>
      <c r="D105" s="3" t="str">
        <f t="shared" si="1"/>
        <v>[`Self-Efficacy:`,``,``,``,``, ``,`&lt;p class='space'&gt;Self-Efficacy: Overall belief of how effectively one can perform, cope, or succeed in various situations`, `HRM360-ch3`],</v>
      </c>
    </row>
    <row r="106" spans="1:4" hidden="1">
      <c r="A106" s="3" t="s">
        <v>342</v>
      </c>
      <c r="B106" s="3" t="s">
        <v>347</v>
      </c>
      <c r="C106" s="3" t="s">
        <v>294</v>
      </c>
      <c r="D106" s="3" t="str">
        <f t="shared" si="1"/>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hidden="1">
      <c r="A107" s="3" t="s">
        <v>349</v>
      </c>
      <c r="B107" s="3" t="s">
        <v>350</v>
      </c>
      <c r="C107" s="3" t="s">
        <v>294</v>
      </c>
      <c r="D107" s="3" t="str">
        <f t="shared" si="1"/>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hidden="1">
      <c r="A108" s="3" t="s">
        <v>354</v>
      </c>
      <c r="B108" s="3" t="s">
        <v>369</v>
      </c>
      <c r="C108" s="3" t="s">
        <v>294</v>
      </c>
      <c r="D108" s="3" t="str">
        <f t="shared" si="1"/>
        <v>[`“Ideal Employee” Personality`,``,``,``,``, ``,`&lt;p class='space'&gt;There Is No “Ideal Employee” Personality`, `HRM360-ch3`],</v>
      </c>
    </row>
    <row r="109" spans="1:4" hidden="1">
      <c r="A109" s="3" t="s">
        <v>355</v>
      </c>
      <c r="B109" s="3" t="s">
        <v>356</v>
      </c>
      <c r="C109" s="3" t="s">
        <v>294</v>
      </c>
      <c r="D109" s="3" t="str">
        <f t="shared" si="1"/>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hidden="1">
      <c r="A110" s="3" t="s">
        <v>357</v>
      </c>
      <c r="B110" s="3" t="s">
        <v>361</v>
      </c>
      <c r="C110" s="3" t="s">
        <v>294</v>
      </c>
      <c r="D110" s="3" t="str">
        <f t="shared" si="1"/>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hidden="1">
      <c r="A111" s="3" t="s">
        <v>358</v>
      </c>
      <c r="B111" s="3" t="s">
        <v>362</v>
      </c>
      <c r="C111" s="3" t="s">
        <v>294</v>
      </c>
      <c r="D111" s="3" t="str">
        <f t="shared" si="1"/>
        <v>[`Core self-evaluations -  Self-esteem`,``,``,``,``, ``,`&lt;p class='space'&gt;Self-esteem is your general belief about your own self-worth. `, `HRM360-ch3`],</v>
      </c>
    </row>
    <row r="112" spans="1:4" hidden="1">
      <c r="A112" s="3" t="s">
        <v>359</v>
      </c>
      <c r="B112" s="3" t="s">
        <v>363</v>
      </c>
      <c r="C112" s="3" t="s">
        <v>294</v>
      </c>
      <c r="D112" s="3" t="str">
        <f t="shared" si="1"/>
        <v>[`Core self-evaluations - Locus of control`,``,``,``,``, ``,`&lt;p class='space'&gt;Locus of control is a relatively stable personality characteristic that describes how much personal responsibility we take for our behavior and its consequences. `, `HRM360-ch3`],</v>
      </c>
    </row>
    <row r="113" spans="1:4" hidden="1">
      <c r="A113" s="3" t="s">
        <v>360</v>
      </c>
      <c r="B113" s="3" t="s">
        <v>364</v>
      </c>
      <c r="C113" s="3" t="s">
        <v>294</v>
      </c>
      <c r="D113" s="3" t="str">
        <f t="shared" si="1"/>
        <v>[`Core self-evaluations - Emotional Stability`,``,``,``,``, ``,`&lt;p class='space'&gt; Individuals with high levels of emotional stability tend to be relaxed, secure, unworried, and less likely to experience negative emotions under pressure.`, `HRM360-ch3`],</v>
      </c>
    </row>
    <row r="114" spans="1:4" ht="30" hidden="1">
      <c r="A114" s="5" t="s">
        <v>378</v>
      </c>
      <c r="B114" s="3" t="s">
        <v>379</v>
      </c>
      <c r="C114" s="3" t="s">
        <v>294</v>
      </c>
      <c r="D114" s="3" t="str">
        <f t="shared" si="1"/>
        <v>[`Which Big 5 factors predict the following? Performance? `,``,``,``,``, ``,`&lt;p class='space'&gt;consciousness`, `HRM360-ch3`],</v>
      </c>
    </row>
    <row r="115" spans="1:4" ht="30" hidden="1">
      <c r="A115" s="5" t="s">
        <v>377</v>
      </c>
      <c r="B115" s="3" t="s">
        <v>379</v>
      </c>
      <c r="C115" s="3" t="s">
        <v>294</v>
      </c>
      <c r="D115" s="3" t="str">
        <f t="shared" si="1"/>
        <v>[`Which Big 5 factors predict the following? Occupational Success?`,``,``,``,``, ``,`&lt;p class='space'&gt;consciousness`, `HRM360-ch3`],</v>
      </c>
    </row>
    <row r="116" spans="1:4" ht="30" hidden="1">
      <c r="A116" s="5" t="s">
        <v>376</v>
      </c>
      <c r="B116" s="3" t="s">
        <v>381</v>
      </c>
      <c r="C116" s="3" t="s">
        <v>294</v>
      </c>
      <c r="D116" s="3" t="str">
        <f t="shared" si="1"/>
        <v>[`Which Big 5 factors predict the following? Performance in social interactions?`,``,``,``,``, ``,`&lt;p class='space'&gt;extroversion`, `HRM360-ch3`],</v>
      </c>
    </row>
    <row r="117" spans="1:4" hidden="1">
      <c r="A117" s="3" t="s">
        <v>390</v>
      </c>
      <c r="B117" s="3" t="s">
        <v>381</v>
      </c>
      <c r="C117" s="3" t="s">
        <v>294</v>
      </c>
      <c r="D117" s="3" t="str">
        <f t="shared" si="1"/>
        <v>[`Which Big 5 factors predict the following? Performance in customer service?`,``,``,``,``, ``,`&lt;p class='space'&gt;extroversion`, `HRM360-ch3`],</v>
      </c>
    </row>
    <row r="118" spans="1:4" hidden="1">
      <c r="A118" s="3" t="s">
        <v>391</v>
      </c>
      <c r="B118" s="3" t="s">
        <v>380</v>
      </c>
      <c r="C118" s="3" t="s">
        <v>294</v>
      </c>
      <c r="D118" s="3" t="str">
        <f t="shared" si="1"/>
        <v>[`Which Big 5 factors predict the following? Team Performance?`,``,``,``,``, ``,`&lt;p class='space'&gt;consciousness  - agreeableness`, `HRM360-ch3`],</v>
      </c>
    </row>
    <row r="119" spans="1:4" hidden="1">
      <c r="A119" s="3" t="s">
        <v>392</v>
      </c>
      <c r="B119" s="3" t="s">
        <v>393</v>
      </c>
      <c r="C119" s="3" t="s">
        <v>294</v>
      </c>
      <c r="D119" s="3" t="str">
        <f t="shared" si="1"/>
        <v>[`Which Big 5 factors predict the following? Emotional Support?`,``,``,``,``, ``,`&lt;p class='space'&gt; emotional stability - agreeableness`, `HRM360-ch3`],</v>
      </c>
    </row>
    <row r="120" spans="1:4" hidden="1">
      <c r="A120" s="3" t="s">
        <v>394</v>
      </c>
      <c r="B120" s="3" t="s">
        <v>382</v>
      </c>
      <c r="C120" s="3" t="s">
        <v>294</v>
      </c>
      <c r="D120" s="3" t="str">
        <f t="shared" si="1"/>
        <v>[`Which Big 5 factors predict the following? Creativity or Innovation?`,``,``,``,``, ``,`&lt;p class='space'&gt;openness`, `HRM360-ch3`],</v>
      </c>
    </row>
    <row r="121" spans="1:4" hidden="1">
      <c r="A121" s="3" t="s">
        <v>395</v>
      </c>
      <c r="B121" s="3" t="s">
        <v>383</v>
      </c>
      <c r="C121" s="3" t="s">
        <v>294</v>
      </c>
      <c r="D121" s="3" t="str">
        <f t="shared" si="1"/>
        <v>[`Which Big 5 factors predict the following? Helping Behavior?`,``,``,``,``, ``,`&lt;p class='space'&gt;agreeableness`, `HRM360-ch3`],</v>
      </c>
    </row>
    <row r="122" spans="1:4" hidden="1">
      <c r="A122" s="3" t="s">
        <v>396</v>
      </c>
      <c r="B122" s="3" t="s">
        <v>384</v>
      </c>
      <c r="C122" s="3" t="s">
        <v>294</v>
      </c>
      <c r="D122" s="3" t="str">
        <f t="shared" si="1"/>
        <v>[`Which Big 5 factors predict the following? Burnout?`,``,``,``,``, ``,`&lt;p class='space'&gt;low emotional stability`, `HRM360-ch3`],</v>
      </c>
    </row>
    <row r="123" spans="1:4" hidden="1">
      <c r="A123" s="3" t="s">
        <v>397</v>
      </c>
      <c r="B123" s="3" t="s">
        <v>385</v>
      </c>
      <c r="C123" s="3" t="s">
        <v>294</v>
      </c>
      <c r="D123" s="3" t="str">
        <f t="shared" si="1"/>
        <v>[`Which Big 5 factors predict the following? Transformational Leadership?`,``,``,``,``, ``,`&lt;p class='space'&gt;extroversion - agreeableness`, `HRM360-ch3`],</v>
      </c>
    </row>
    <row r="124" spans="1:4" ht="45" hidden="1">
      <c r="A124" s="3" t="s">
        <v>348</v>
      </c>
      <c r="B124" s="5" t="s">
        <v>365</v>
      </c>
      <c r="C124" s="3" t="s">
        <v>370</v>
      </c>
      <c r="D124" s="3" t="str">
        <f t="shared" si="1"/>
        <v>[`Personality `,``,``,``,``, ``,`&lt;p class='space'&gt;Personality is the combination of stable physical, behavioral, and mental characteristics that gives individuals their unique identities. `, `HRM360-ch4`],</v>
      </c>
    </row>
    <row r="125" spans="1:4" hidden="1">
      <c r="A125" s="3" t="s">
        <v>371</v>
      </c>
      <c r="B125" s="3" t="s">
        <v>374</v>
      </c>
      <c r="C125" s="3" t="s">
        <v>370</v>
      </c>
      <c r="D125" s="3" t="str">
        <f t="shared" si="1"/>
        <v>[`Two tendencies specific to emotions:`,``,``,``,``, ``,`&lt;p class='space'&gt;positive affectivity and negative affectivity&lt;p class='space'&gt;these are fundamental differences between people`, `HRM360-ch4`],</v>
      </c>
    </row>
    <row r="126" spans="1:4" hidden="1">
      <c r="A126" s="3" t="s">
        <v>372</v>
      </c>
      <c r="B126" s="3" t="s">
        <v>437</v>
      </c>
      <c r="C126" s="3" t="s">
        <v>370</v>
      </c>
      <c r="D126" s="3" t="str">
        <f t="shared" si="1"/>
        <v>[`High positive affectivity vs low is characterized by:`,``,``,``,``, ``,`&lt;p class='space'&gt;High positive affectivity - excited-interested and active&lt;p class='space'&gt;Low positive affectivity - lack of positive emotions - depressed grouchy lethargic`, `HRM360-ch4`],</v>
      </c>
    </row>
    <row r="127" spans="1:4" hidden="1">
      <c r="A127" s="3" t="s">
        <v>373</v>
      </c>
      <c r="B127" s="3" t="s">
        <v>375</v>
      </c>
      <c r="C127" s="3" t="s">
        <v>370</v>
      </c>
      <c r="D127" s="3" t="str">
        <f t="shared" si="1"/>
        <v>[`High negative affectivity vs low is characterized by:`,``,``,``,``, ``,`&lt;p class='space'&gt;High Negative affectivity - rage irritable&lt;p class='space'&gt;low negative affectivity - serene calm`, `HRM360-ch4`],</v>
      </c>
    </row>
    <row r="128" spans="1:4" hidden="1">
      <c r="A128" s="3" t="s">
        <v>438</v>
      </c>
      <c r="B128" s="3" t="s">
        <v>439</v>
      </c>
      <c r="C128" s="3" t="s">
        <v>370</v>
      </c>
      <c r="D128" s="3" t="str">
        <f t="shared" si="1"/>
        <v>[`How can one's emotional intelligence be altered.`,``,``,``,``, ``,`&lt;p class='space'&gt;EQ (emotional intelligence can be altered by putting one into situations that require the application of EQ. Repeated practice so to speak.`, `HRM360-ch4`],</v>
      </c>
    </row>
    <row r="129" spans="1:4" hidden="1">
      <c r="A129" s="3" t="s">
        <v>386</v>
      </c>
      <c r="B129" s="3" t="s">
        <v>388</v>
      </c>
      <c r="C129" s="3" t="s">
        <v>370</v>
      </c>
      <c r="D129" s="3" t="str">
        <f t="shared" si="1"/>
        <v>[`Determining attitudes vs values which is easier `,``,``,``,``, ``,`&lt;p class='space'&gt;Attitudes are much easier to see`, `HRM360-ch4`],</v>
      </c>
    </row>
    <row r="130" spans="1:4" ht="75" hidden="1">
      <c r="A130" s="5" t="s">
        <v>387</v>
      </c>
      <c r="B130" s="5" t="s">
        <v>389</v>
      </c>
      <c r="C130" s="3" t="s">
        <v>370</v>
      </c>
      <c r="D130" s="3" t="str">
        <f t="shared" ref="D130:D193" si="2">"[`"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hidden="1">
      <c r="A131" s="3" t="s">
        <v>398</v>
      </c>
      <c r="B131" s="3" t="s">
        <v>404</v>
      </c>
      <c r="C131" s="3" t="s">
        <v>370</v>
      </c>
      <c r="D131" s="3" t="str">
        <f t="shared" si="2"/>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hidden="1">
      <c r="A132" s="3" t="s">
        <v>399</v>
      </c>
      <c r="B132" s="3" t="s">
        <v>402</v>
      </c>
      <c r="C132" s="3" t="s">
        <v>370</v>
      </c>
      <c r="D132" s="3" t="str">
        <f t="shared" si="2"/>
        <v>[`The fundamental attribution bias`,``,``,``,``, ``,`&lt;p class='space'&gt;The fundamental attribution bias reflects our tendency to attribute another person’s behavior to his or her personal characteristics, rather than to situation factors. `, `HRM360-ch4`],</v>
      </c>
    </row>
    <row r="133" spans="1:4" hidden="1">
      <c r="A133" s="3" t="s">
        <v>400</v>
      </c>
      <c r="B133" s="3" t="s">
        <v>431</v>
      </c>
      <c r="C133" s="3" t="s">
        <v>370</v>
      </c>
      <c r="D133" s="3" t="str">
        <f t="shared" si="2"/>
        <v>[`Self-serving Bias`,``,``,``,``, ``,`&lt;p class='space'&gt;One's tendency to take credit for success and deny blame for failure`, `HRM360-ch4`],</v>
      </c>
    </row>
    <row r="134" spans="1:4" hidden="1">
      <c r="A134" s="3" t="s">
        <v>401</v>
      </c>
      <c r="B134" s="3" t="s">
        <v>403</v>
      </c>
      <c r="C134" s="3" t="s">
        <v>370</v>
      </c>
      <c r="D134" s="3" t="str">
        <f t="shared" si="2"/>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05" hidden="1">
      <c r="A135" s="3" t="s">
        <v>405</v>
      </c>
      <c r="B135" s="5" t="s">
        <v>407</v>
      </c>
      <c r="C135" s="3" t="s">
        <v>370</v>
      </c>
      <c r="D135" s="3" t="str">
        <f t="shared" si="2"/>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hidden="1">
      <c r="A136" s="3" t="s">
        <v>406</v>
      </c>
      <c r="B136" s="3" t="s">
        <v>408</v>
      </c>
      <c r="C136" s="3" t="s">
        <v>370</v>
      </c>
      <c r="D136" s="3" t="str">
        <f t="shared" si="2"/>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05" hidden="1">
      <c r="A137" s="3" t="s">
        <v>409</v>
      </c>
      <c r="B137" s="5" t="s">
        <v>414</v>
      </c>
      <c r="C137" s="3" t="s">
        <v>370</v>
      </c>
      <c r="D137" s="3" t="str">
        <f t="shared" si="2"/>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60" hidden="1">
      <c r="A138" s="5" t="s">
        <v>410</v>
      </c>
      <c r="B138" s="5" t="s">
        <v>415</v>
      </c>
      <c r="C138" s="3" t="s">
        <v>370</v>
      </c>
      <c r="D138" s="3" t="str">
        <f t="shared" si="2"/>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60" hidden="1">
      <c r="A139" s="3" t="s">
        <v>417</v>
      </c>
      <c r="B139" s="5" t="s">
        <v>411</v>
      </c>
      <c r="C139" s="3" t="s">
        <v>370</v>
      </c>
      <c r="D139" s="3" t="str">
        <f t="shared" si="2"/>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60" hidden="1">
      <c r="A140" s="3" t="s">
        <v>418</v>
      </c>
      <c r="B140" s="5" t="s">
        <v>412</v>
      </c>
      <c r="C140" s="3" t="s">
        <v>370</v>
      </c>
      <c r="D140" s="3" t="str">
        <f t="shared" si="2"/>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90" hidden="1">
      <c r="A141" s="3" t="s">
        <v>413</v>
      </c>
      <c r="B141" s="5" t="s">
        <v>416</v>
      </c>
      <c r="C141" s="3" t="s">
        <v>370</v>
      </c>
      <c r="D141" s="3" t="str">
        <f t="shared" si="2"/>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hidden="1">
      <c r="A142" s="3" t="s">
        <v>420</v>
      </c>
      <c r="B142" s="3" t="s">
        <v>419</v>
      </c>
      <c r="C142" s="3" t="s">
        <v>370</v>
      </c>
      <c r="D142" s="3" t="str">
        <f t="shared" si="2"/>
        <v>[`Fundamental attribution error also:`,``,``,``,``, ``,`&lt;p class='space'&gt;Fundamental attribution error (a.k.a., the correspondence bias):`, `HRM360-ch4`],</v>
      </c>
    </row>
    <row r="143" spans="1:4" ht="120" hidden="1">
      <c r="A143" s="3" t="s">
        <v>421</v>
      </c>
      <c r="B143" s="5" t="s">
        <v>444</v>
      </c>
      <c r="C143" s="3" t="s">
        <v>370</v>
      </c>
      <c r="D143" s="3" t="str">
        <f t="shared" si="2"/>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hidden="1">
      <c r="A144" s="3" t="s">
        <v>422</v>
      </c>
      <c r="B144" s="3" t="s">
        <v>423</v>
      </c>
      <c r="C144" s="3" t="s">
        <v>370</v>
      </c>
      <c r="D144" s="3" t="str">
        <f t="shared" si="2"/>
        <v>[`Difference between self serving bias and attribution bias`,``,``,``,``, ``,`&lt;p class='space'&gt;self serving bias, why I failed&lt;p class='space'&gt;attribution bias, why someone else failed`, `HRM360-ch4`],</v>
      </c>
    </row>
    <row r="145" spans="1:4" hidden="1">
      <c r="A145" s="3" t="s">
        <v>424</v>
      </c>
      <c r="B145" s="3" t="s">
        <v>440</v>
      </c>
      <c r="C145" s="3" t="s">
        <v>370</v>
      </c>
      <c r="D145" s="3" t="str">
        <f t="shared" si="2"/>
        <v>[`Inner locus of control `,``,``,``,``, ``,`&lt;p class='space'&gt;Individuals like this are more likely to accept responsivities for positives and negatives that happen to them.`, `HRM360-ch4`],</v>
      </c>
    </row>
    <row r="146" spans="1:4" hidden="1">
      <c r="A146" s="3" t="s">
        <v>433</v>
      </c>
      <c r="B146" s="3" t="s">
        <v>441</v>
      </c>
      <c r="C146" s="3" t="s">
        <v>370</v>
      </c>
      <c r="D146" s="3" t="str">
        <f t="shared" si="2"/>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195" hidden="1">
      <c r="A147" s="3" t="s">
        <v>426</v>
      </c>
      <c r="B147" s="5" t="s">
        <v>425</v>
      </c>
      <c r="C147" s="3" t="s">
        <v>370</v>
      </c>
      <c r="D147" s="3" t="str">
        <f t="shared" si="2"/>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hidden="1">
      <c r="A148" s="3" t="s">
        <v>427</v>
      </c>
      <c r="B148" s="3" t="s">
        <v>428</v>
      </c>
      <c r="C148" s="3" t="s">
        <v>370</v>
      </c>
      <c r="D148" s="3" t="str">
        <f t="shared" si="2"/>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hidden="1">
      <c r="A149" s="3" t="s">
        <v>430</v>
      </c>
      <c r="B149" s="3" t="s">
        <v>429</v>
      </c>
      <c r="C149" s="3" t="s">
        <v>370</v>
      </c>
      <c r="D149" s="3" t="str">
        <f t="shared" si="2"/>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hidden="1">
      <c r="A150" s="5" t="s">
        <v>434</v>
      </c>
      <c r="B150" s="3" t="s">
        <v>435</v>
      </c>
      <c r="C150" s="3" t="s">
        <v>370</v>
      </c>
      <c r="D150" s="3" t="str">
        <f t="shared" si="2"/>
        <v>[` Causal Attributions`,``,``,``,``, ``,`&lt;p class='space'&gt;Causal attributions are suspected or inferred causes of behavior. `, `HRM360-ch4`],</v>
      </c>
    </row>
    <row r="151" spans="1:4" hidden="1">
      <c r="A151" s="3" t="s">
        <v>75</v>
      </c>
      <c r="B151" s="3" t="s">
        <v>199</v>
      </c>
      <c r="C151" s="3" t="s">
        <v>76</v>
      </c>
      <c r="D151" s="3" t="str">
        <f t="shared" si="2"/>
        <v>[`Extrinsic motivation`,``,``,``,``, ``,`&lt;p class='space'&gt;results from the potential or actual receipt of external rewards`, `HRM360-ch5`],</v>
      </c>
    </row>
    <row r="152" spans="1:4" hidden="1">
      <c r="A152" s="3" t="s">
        <v>79</v>
      </c>
      <c r="B152" s="3" t="s">
        <v>200</v>
      </c>
      <c r="C152" s="3" t="s">
        <v>76</v>
      </c>
      <c r="D152" s="3" t="str">
        <f t="shared" si="2"/>
        <v>[`Intrinsic motivation `,``,``,``,``, ``,`&lt;p class='space'&gt;occurs when an individual is inspired by “the positive internal feelings that are generated by doing well,`, `HRM360-ch5`],</v>
      </c>
    </row>
    <row r="153" spans="1:4" hidden="1">
      <c r="A153" s="3" t="s">
        <v>80</v>
      </c>
      <c r="B153" s="3" t="s">
        <v>201</v>
      </c>
      <c r="C153" s="3" t="s">
        <v>76</v>
      </c>
      <c r="D153" s="3" t="str">
        <f t="shared" si="2"/>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4" spans="1:4" hidden="1">
      <c r="A154" s="3" t="s">
        <v>81</v>
      </c>
      <c r="B154" s="3" t="s">
        <v>202</v>
      </c>
      <c r="C154" s="3" t="s">
        <v>76</v>
      </c>
      <c r="D154" s="3" t="str">
        <f t="shared" si="2"/>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5" spans="1:4" ht="60" hidden="1">
      <c r="A155" s="3" t="s">
        <v>82</v>
      </c>
      <c r="B155" s="5" t="s">
        <v>190</v>
      </c>
      <c r="C155" s="3" t="s">
        <v>76</v>
      </c>
      <c r="D155" s="3" t="str">
        <f t="shared" si="2"/>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6" spans="1:4" hidden="1">
      <c r="A156" s="3" t="s">
        <v>83</v>
      </c>
      <c r="B156" s="3" t="s">
        <v>195</v>
      </c>
      <c r="C156" s="3" t="s">
        <v>76</v>
      </c>
      <c r="D156" s="3" t="str">
        <f t="shared" si="2"/>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7" spans="1:4" hidden="1">
      <c r="A157" s="3" t="s">
        <v>84</v>
      </c>
      <c r="B157" s="3" t="s">
        <v>191</v>
      </c>
      <c r="C157" s="3" t="s">
        <v>76</v>
      </c>
      <c r="D157" s="3" t="str">
        <f t="shared" si="2"/>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8" spans="1:4" hidden="1">
      <c r="A158" s="3" t="s">
        <v>85</v>
      </c>
      <c r="B158" s="3" t="s">
        <v>203</v>
      </c>
      <c r="C158" s="3" t="s">
        <v>76</v>
      </c>
      <c r="D158" s="3" t="str">
        <f t="shared" si="2"/>
        <v>[`Maslow's need - Physiological`,``,``,``,``, ``,`&lt;p class='space'&gt;Most basic need - food, air, and water to survive`, `HRM360-ch5`],</v>
      </c>
    </row>
    <row r="159" spans="1:4" hidden="1">
      <c r="A159" s="3" t="s">
        <v>86</v>
      </c>
      <c r="B159" s="3" t="s">
        <v>204</v>
      </c>
      <c r="C159" s="3" t="s">
        <v>76</v>
      </c>
      <c r="D159" s="3" t="str">
        <f t="shared" si="2"/>
        <v>[`Maslow's need - Safety`,``,``,``,``, ``,`&lt;p class='space'&gt;Safe from physical and psychological harm`, `HRM360-ch5`],</v>
      </c>
    </row>
    <row r="160" spans="1:4" hidden="1">
      <c r="A160" s="3" t="s">
        <v>87</v>
      </c>
      <c r="B160" s="3" t="s">
        <v>323</v>
      </c>
      <c r="C160" s="3" t="s">
        <v>76</v>
      </c>
      <c r="D160" s="3" t="str">
        <f t="shared" si="2"/>
        <v>[`Maslow's need - love`,``,``,``,``, ``,`&lt;p class='space'&gt;desire to be loved and to love - needs for affection and belonging`, `HRM360-ch5`],</v>
      </c>
    </row>
    <row r="161" spans="1:4" hidden="1">
      <c r="A161" s="3" t="s">
        <v>88</v>
      </c>
      <c r="B161" s="3" t="s">
        <v>324</v>
      </c>
      <c r="C161" s="3" t="s">
        <v>76</v>
      </c>
      <c r="D161" s="3" t="str">
        <f t="shared" si="2"/>
        <v>[`Maslow's need - Esteem`,``,``,``,``, ``,`&lt;p class='space'&gt;Need for reputation, prestige, and recognition from others. Included need for self-confidence and strength`, `HRM360-ch5`],</v>
      </c>
    </row>
    <row r="162" spans="1:4" hidden="1">
      <c r="A162" s="3" t="s">
        <v>192</v>
      </c>
      <c r="B162" s="3" t="s">
        <v>205</v>
      </c>
      <c r="C162" s="3" t="s">
        <v>76</v>
      </c>
      <c r="D162" s="3" t="str">
        <f t="shared" si="2"/>
        <v>[`Maslow's need - Self-Actualization`,``,``,``,``, ``,`&lt;p class='space'&gt;Desire for self fulfillment - to become the best one is capable of becoming.`, `HRM360-ch5`],</v>
      </c>
    </row>
    <row r="163" spans="1:4" hidden="1">
      <c r="A163" s="3" t="s">
        <v>449</v>
      </c>
      <c r="B163" s="3" t="s">
        <v>325</v>
      </c>
      <c r="C163" s="3" t="s">
        <v>76</v>
      </c>
      <c r="D163" s="3" t="str">
        <f t="shared" si="2"/>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4" spans="1:4" hidden="1">
      <c r="A164" s="3" t="s">
        <v>326</v>
      </c>
      <c r="B164" s="3" t="s">
        <v>206</v>
      </c>
      <c r="C164" s="3" t="s">
        <v>76</v>
      </c>
      <c r="D164" s="3" t="str">
        <f t="shared" si="2"/>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5" spans="1:4" hidden="1">
      <c r="A165" s="3" t="s">
        <v>89</v>
      </c>
      <c r="B165" s="3" t="s">
        <v>207</v>
      </c>
      <c r="C165" s="3" t="s">
        <v>76</v>
      </c>
      <c r="D165" s="3" t="str">
        <f t="shared" si="2"/>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6" spans="1:4" hidden="1">
      <c r="A166" s="3" t="s">
        <v>90</v>
      </c>
      <c r="B166" s="3" t="s">
        <v>267</v>
      </c>
      <c r="C166" s="3" t="s">
        <v>76</v>
      </c>
      <c r="D166" s="3" t="str">
        <f t="shared" si="2"/>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7" spans="1:4" hidden="1">
      <c r="A167" s="3" t="s">
        <v>91</v>
      </c>
      <c r="B167" s="3" t="s">
        <v>208</v>
      </c>
      <c r="C167" s="3" t="s">
        <v>76</v>
      </c>
      <c r="D167" s="3" t="str">
        <f t="shared" si="2"/>
        <v>[`Need for affiliation.`,``,``,``,``, ``,`&lt;p class='space'&gt;Need for affiliation. People motivated by the need for affiliation like to work in teams and in organizational climates characterized as cooperative and collegial. `, `HRM360-ch5`],</v>
      </c>
    </row>
    <row r="168" spans="1:4" hidden="1">
      <c r="A168" s="3" t="s">
        <v>92</v>
      </c>
      <c r="B168" s="3" t="s">
        <v>209</v>
      </c>
      <c r="C168" s="3" t="s">
        <v>76</v>
      </c>
      <c r="D168" s="3" t="str">
        <f t="shared" si="2"/>
        <v>[`Need for power.`,``,``,``,``, ``,`&lt;p class='space'&gt;Need for power. People with a high need for power like to be in charge. They enjoy coaching and helping others develop. `, `HRM360-ch5`],</v>
      </c>
    </row>
    <row r="169" spans="1:4" ht="120" hidden="1">
      <c r="A169" s="3" t="s">
        <v>93</v>
      </c>
      <c r="B169" s="5" t="s">
        <v>210</v>
      </c>
      <c r="C169" s="3" t="s">
        <v>76</v>
      </c>
      <c r="D169" s="3" t="str">
        <f t="shared" si="2"/>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0" spans="1:4" hidden="1">
      <c r="A170" s="3" t="s">
        <v>94</v>
      </c>
      <c r="B170" s="3" t="s">
        <v>211</v>
      </c>
      <c r="C170" s="3" t="s">
        <v>76</v>
      </c>
      <c r="D170" s="3" t="str">
        <f t="shared" si="2"/>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1" spans="1:4" hidden="1">
      <c r="A171" s="3" t="s">
        <v>95</v>
      </c>
      <c r="B171" s="3" t="s">
        <v>212</v>
      </c>
      <c r="C171" s="3" t="s">
        <v>76</v>
      </c>
      <c r="D171" s="3" t="str">
        <f t="shared" si="2"/>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2" spans="1:4" hidden="1">
      <c r="A172" s="3" t="s">
        <v>96</v>
      </c>
      <c r="B172" s="3" t="s">
        <v>213</v>
      </c>
      <c r="C172" s="3" t="s">
        <v>76</v>
      </c>
      <c r="D172" s="3" t="str">
        <f t="shared" si="2"/>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3" spans="1:4" hidden="1">
      <c r="A173" s="3" t="s">
        <v>97</v>
      </c>
      <c r="B173" s="3" t="s">
        <v>214</v>
      </c>
      <c r="C173" s="3" t="s">
        <v>76</v>
      </c>
      <c r="D173" s="3" t="str">
        <f t="shared" si="2"/>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4" spans="1:4" hidden="1">
      <c r="A174" s="3" t="s">
        <v>432</v>
      </c>
      <c r="B174" s="3" t="s">
        <v>436</v>
      </c>
      <c r="C174" s="3" t="s">
        <v>370</v>
      </c>
      <c r="D174" s="3" t="str">
        <f t="shared" si="2"/>
        <v>[`Diversity`,``,``,``,``, ``,`&lt;p class='space'&gt;Diversity pertains to the host of individual differences that make each of us unique and different from all others.`, `HRM360-ch4`],</v>
      </c>
    </row>
    <row r="175" spans="1:4" hidden="1">
      <c r="A175" s="3" t="s">
        <v>442</v>
      </c>
      <c r="B175" s="3"/>
      <c r="C175" s="3" t="s">
        <v>76</v>
      </c>
      <c r="D175" s="3" t="str">
        <f t="shared" si="2"/>
        <v>[`*Expectancy theory`,``,``,``,``, ``,``, `HRM360-ch5`],</v>
      </c>
    </row>
    <row r="176" spans="1:4" hidden="1">
      <c r="A176" s="3" t="s">
        <v>443</v>
      </c>
      <c r="B176" s="3" t="s">
        <v>445</v>
      </c>
      <c r="C176" s="3" t="s">
        <v>76</v>
      </c>
      <c r="D176" s="3" t="str">
        <f t="shared" si="2"/>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75" hidden="1">
      <c r="A177" s="3" t="s">
        <v>447</v>
      </c>
      <c r="B177" s="5" t="s">
        <v>454</v>
      </c>
      <c r="C177" s="3" t="s">
        <v>76</v>
      </c>
      <c r="D177" s="3" t="str">
        <f t="shared" si="2"/>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30" hidden="1">
      <c r="A178" s="3" t="s">
        <v>446</v>
      </c>
      <c r="B178" s="5" t="s">
        <v>455</v>
      </c>
      <c r="C178" s="3" t="s">
        <v>76</v>
      </c>
      <c r="D178" s="3" t="str">
        <f t="shared" si="2"/>
        <v>[`Output intrinsic vs extrinsic motivation`,``,``,``,``, ``,`&lt;p class='space'&gt;Studies find intrinsic motivation leads to higher quality work, and extrinsic to higher quantity `, `HRM360-ch5`],</v>
      </c>
    </row>
    <row r="179" spans="1:4" ht="75" hidden="1">
      <c r="A179" s="3" t="s">
        <v>448</v>
      </c>
      <c r="B179" s="5" t="s">
        <v>456</v>
      </c>
      <c r="C179" s="3" t="s">
        <v>76</v>
      </c>
      <c r="D179" s="3" t="str">
        <f t="shared" si="2"/>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60" hidden="1">
      <c r="A180" s="3" t="s">
        <v>450</v>
      </c>
      <c r="B180" s="5" t="s">
        <v>451</v>
      </c>
      <c r="C180" s="3" t="s">
        <v>76</v>
      </c>
      <c r="D180" s="3" t="str">
        <f t="shared" si="2"/>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135" hidden="1">
      <c r="A181" s="3" t="s">
        <v>452</v>
      </c>
      <c r="B181" s="5" t="s">
        <v>457</v>
      </c>
      <c r="C181" s="3" t="s">
        <v>76</v>
      </c>
      <c r="D181" s="3" t="str">
        <f t="shared" si="2"/>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20" hidden="1">
      <c r="A182" s="3" t="s">
        <v>453</v>
      </c>
      <c r="B182" s="5" t="s">
        <v>458</v>
      </c>
      <c r="C182" s="3" t="s">
        <v>76</v>
      </c>
      <c r="D182" s="3" t="str">
        <f t="shared" si="2"/>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hidden="1">
      <c r="A183" s="3" t="s">
        <v>459</v>
      </c>
      <c r="B183" s="3" t="s">
        <v>461</v>
      </c>
      <c r="C183" s="3" t="s">
        <v>76</v>
      </c>
      <c r="D183" s="3" t="str">
        <f t="shared" si="2"/>
        <v>[`Motivation and equity theory`,``,``,``,``, ``,`&lt;p class='space'&gt;Equity theory, people are motivated based on their perceptions of the fairness of those exchanges`, `HRM360-ch5`],</v>
      </c>
    </row>
    <row r="184" spans="1:4" ht="90" hidden="1">
      <c r="A184" s="3" t="s">
        <v>460</v>
      </c>
      <c r="B184" s="5" t="s">
        <v>462</v>
      </c>
      <c r="C184" s="3" t="s">
        <v>76</v>
      </c>
      <c r="D184" s="3" t="str">
        <f t="shared" si="2"/>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20" hidden="1">
      <c r="A185" s="3" t="s">
        <v>463</v>
      </c>
      <c r="B185" s="5" t="s">
        <v>464</v>
      </c>
      <c r="C185" s="3" t="s">
        <v>76</v>
      </c>
      <c r="D185" s="3" t="str">
        <f t="shared" si="2"/>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05" hidden="1">
      <c r="A186" s="3" t="s">
        <v>460</v>
      </c>
      <c r="B186" s="5" t="s">
        <v>466</v>
      </c>
      <c r="C186" s="3" t="s">
        <v>76</v>
      </c>
      <c r="D186" s="3" t="str">
        <f t="shared" si="2"/>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180" hidden="1">
      <c r="A187" s="3" t="s">
        <v>465</v>
      </c>
      <c r="B187" s="5" t="s">
        <v>467</v>
      </c>
      <c r="C187" s="3" t="s">
        <v>76</v>
      </c>
      <c r="D187" s="3" t="str">
        <f t="shared" si="2"/>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150" hidden="1">
      <c r="A188" s="3" t="s">
        <v>468</v>
      </c>
      <c r="B188" s="5" t="s">
        <v>469</v>
      </c>
      <c r="C188" s="3" t="s">
        <v>76</v>
      </c>
      <c r="D188" s="3" t="str">
        <f t="shared" si="2"/>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90" hidden="1">
      <c r="A189" s="3" t="s">
        <v>471</v>
      </c>
      <c r="B189" s="5" t="s">
        <v>470</v>
      </c>
      <c r="C189" s="3" t="s">
        <v>76</v>
      </c>
      <c r="D189" s="3" t="str">
        <f t="shared" si="2"/>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hidden="1">
      <c r="A190" s="3" t="s">
        <v>472</v>
      </c>
      <c r="B190" s="3" t="s">
        <v>475</v>
      </c>
      <c r="C190" s="3" t="s">
        <v>473</v>
      </c>
      <c r="D190" s="3" t="str">
        <f t="shared" si="2"/>
        <v>[`What is performance management?`,``,``,``,``, ``,`&lt;p class='space'&gt;Performance management (PM) is a set of processes and managerial behaviors that include defining, monitoring, measuring, evaluating, and providing consequences for performance expectations.`, `HRM360-ch6`],</v>
      </c>
    </row>
    <row r="191" spans="1:4" ht="60" hidden="1">
      <c r="A191" s="3" t="s">
        <v>474</v>
      </c>
      <c r="B191" s="5" t="s">
        <v>476</v>
      </c>
      <c r="C191" s="3" t="s">
        <v>473</v>
      </c>
      <c r="D191" s="3" t="str">
        <f t="shared" si="2"/>
        <v>[`Four step of performance management:`,``,``,``,``, ``,`&lt;p class='space'&gt;Step 1: Defining performance.  &lt;p class='space'&gt;Step 2: Monitoring and evaluating performance.  &lt;p class='space'&gt;Step 3: Reviewing performance.  &lt;p class='space'&gt;Step 4: Providing consequences.`, `HRM360-ch6`],</v>
      </c>
    </row>
    <row r="192" spans="1:4" hidden="1">
      <c r="A192" s="3" t="s">
        <v>477</v>
      </c>
      <c r="B192" s="3" t="s">
        <v>488</v>
      </c>
      <c r="C192" s="3" t="s">
        <v>473</v>
      </c>
      <c r="D192" s="3" t="str">
        <f t="shared" si="2"/>
        <v>[`Three issues with performance management:`,``,``,``,``, ``,`&lt;p class='space'&gt;First, performance management practices are often obsolete.&lt;p class='space'&gt;Second, PM is time consuming.&lt;p class='space'&gt;Third, performance reviews are too narrow.`, `HRM360-ch6`],</v>
      </c>
    </row>
    <row r="193" spans="1:4" hidden="1">
      <c r="A193" s="3" t="s">
        <v>483</v>
      </c>
      <c r="B193" s="3" t="s">
        <v>478</v>
      </c>
      <c r="C193" s="3" t="s">
        <v>493</v>
      </c>
      <c r="D193" s="3" t="str">
        <f t="shared" si="2"/>
        <v>[`Need to be updated`,``,``,``,``, ``,`Generally, people tend to perceive and recall positive feedback more accurately than they do negative feedback. But negative feedback `, `HRM360-ch?`],</v>
      </c>
    </row>
    <row r="194" spans="1:4" hidden="1">
      <c r="A194" s="3" t="s">
        <v>479</v>
      </c>
      <c r="B194" s="3" t="s">
        <v>489</v>
      </c>
      <c r="C194" s="3" t="s">
        <v>473</v>
      </c>
      <c r="D194" s="3" t="str">
        <f t="shared" ref="D194:D198" si="3">"[`" &amp; A194 &amp; "`,``,``,``,``, ``,`"  &amp; B194 &amp; "`, `" &amp; C194 &amp; "`]" &amp; IF(C195&lt;&gt;"",",","")</f>
        <v>[` is a customized process between two or more people with the intent of enhancing learning and motivating change`,``,``,``,``, ``,`&lt;p class='space'&gt;Coaching`, `HRM360-ch6`],</v>
      </c>
    </row>
    <row r="195" spans="1:4" hidden="1">
      <c r="A195" s="3" t="s">
        <v>480</v>
      </c>
      <c r="B195" s="3" t="s">
        <v>481</v>
      </c>
      <c r="C195" s="3" t="s">
        <v>482</v>
      </c>
      <c r="D195" s="3" t="str">
        <f t="shared" si="3"/>
        <v>[`Tuckman’s Five-Stage Model of Group Development`,``,``,``,``, ``,`forming, storming, norming, performing, adjourning`, `HRM360-ch8`],</v>
      </c>
    </row>
    <row r="196" spans="1:4" hidden="1">
      <c r="A196" s="3" t="s">
        <v>484</v>
      </c>
      <c r="B196" s="3" t="s">
        <v>490</v>
      </c>
      <c r="C196" s="3" t="s">
        <v>494</v>
      </c>
      <c r="D196" s="3" t="str">
        <f t="shared" si="3"/>
        <v>[`Flex box - set items into evenly spread row`,``,``,``,``, ``,`Parent&lt;p class='space'&gt;display: flex;&lt;p class='space'&gt;justify-content: space-around;`, `IS445-HTML/CSS`],</v>
      </c>
    </row>
    <row r="197" spans="1:4" hidden="1">
      <c r="A197" s="3" t="s">
        <v>485</v>
      </c>
      <c r="B197" s="3" t="s">
        <v>486</v>
      </c>
      <c r="C197" s="3" t="s">
        <v>494</v>
      </c>
      <c r="D197" s="3" t="str">
        <f t="shared" si="3"/>
        <v>[`Where is the best refernce site for HTML-CSS rules/docs?`,``,``,``,``, ``,`MDN web docs - https://developer.mozilla.org/en-US/docs/Web`, `IS445-HTML/CSS`],</v>
      </c>
    </row>
    <row r="198" spans="1:4" ht="105" hidden="1">
      <c r="A198" s="3" t="s">
        <v>487</v>
      </c>
      <c r="B198" s="11" t="s">
        <v>492</v>
      </c>
      <c r="C198" s="3" t="s">
        <v>491</v>
      </c>
      <c r="D198" s="3" t="str">
        <f t="shared" si="3"/>
        <v>[`git start brach at current spot`,``,``,``,``, ``,`git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 `IS445-git`],</v>
      </c>
    </row>
    <row r="199" spans="1:4" hidden="1">
      <c r="A199" s="2" t="s">
        <v>845</v>
      </c>
      <c r="B199" s="3" t="s">
        <v>646</v>
      </c>
      <c r="C199" s="3" t="s">
        <v>495</v>
      </c>
      <c r="D199" s="3" t="str">
        <f t="shared" ref="D199:D230" si="4">"[`" &amp; A199 &amp; "`,``,``,``,``, ``,`"  &amp; B199 &amp; "`, `" &amp; C199 &amp; "`]" &amp; IF(C200&lt;&gt;"",",","")</f>
        <v>[`What is the difference between Data and Information?`,``,``,``,``, ``,`&lt;p class='space'&gt;Data consists of raw facts where information results from processing raw information. &lt;p class='space'&gt;Information is the result of processing raw data to reveal its meaning.`, `IS380-ch01`],</v>
      </c>
    </row>
    <row r="200" spans="1:4" hidden="1">
      <c r="A200" s="3" t="s">
        <v>844</v>
      </c>
      <c r="B200" s="3" t="s">
        <v>45</v>
      </c>
      <c r="C200" s="3" t="s">
        <v>495</v>
      </c>
      <c r="D200" s="3" t="str">
        <f t="shared" si="4"/>
        <v>[`What is a database?`,``,``,``,``, ``,`A shared, integrated computer structure that houses a collection of related data. A database contains two types of data: end-user data (raw facts) and metadata. `, `IS380-ch01`],</v>
      </c>
    </row>
    <row r="201" spans="1:4" hidden="1">
      <c r="A201" s="4" t="s">
        <v>46</v>
      </c>
      <c r="B201" s="3" t="s">
        <v>47</v>
      </c>
      <c r="C201" s="3" t="s">
        <v>495</v>
      </c>
      <c r="D201" s="3" t="str">
        <f t="shared" si="4"/>
        <v>[`  What is metadata?`,``,``,``,``, ``,`Data about data; that is, data about data characteristics and relationships.`, `IS380-ch01`],</v>
      </c>
    </row>
    <row r="202" spans="1:4" ht="45" hidden="1">
      <c r="A202" s="3" t="s">
        <v>843</v>
      </c>
      <c r="B202" s="5" t="s">
        <v>72</v>
      </c>
      <c r="C202" s="3" t="s">
        <v>495</v>
      </c>
      <c r="D202" s="3" t="str">
        <f t="shared" si="4"/>
        <v>[`What is a DBMS?  `,``,``,``,``, ``,`A database management system (DBMS) is a collection of programs that manages, the database structure and controls access to the data stored in the database.`, `IS380-ch01`],</v>
      </c>
    </row>
    <row r="203" spans="1:4" ht="105" hidden="1">
      <c r="A203" s="3" t="s">
        <v>840</v>
      </c>
      <c r="B203" s="5" t="s">
        <v>841</v>
      </c>
      <c r="C203" s="3" t="s">
        <v>495</v>
      </c>
      <c r="D203" s="3" t="str">
        <f t="shared" si="4"/>
        <v>[`What are some advantages of a DBMS (why would you use one)?`,``,``,``,``, ``,`\nFirst, the DBMS enables the data in the database to be shared among multiple applications or users. &lt;p class='space'&gt;Second, the DBMS integrates the many different users’ views of the data into a single all-encompassing data repository\nImproved data sharing\nImproved data security\nBetter data integration\n Minimized data inconsistency\nImproved data access\nImproved decision making\nIncreased end-user productivity`, `IS380-ch01`],</v>
      </c>
    </row>
    <row r="204" spans="1:4" hidden="1">
      <c r="A204" s="3" t="s">
        <v>842</v>
      </c>
      <c r="B204" s="3" t="s">
        <v>51</v>
      </c>
      <c r="C204" s="3" t="s">
        <v>495</v>
      </c>
      <c r="D204" s="3" t="str">
        <f t="shared" si="4"/>
        <v>[`What are some disadvantages of using a Database System?`,``,``,``,``, ``,`Cost, need to hire technical staff to design, manage, and operate the DBMS system.`, `IS380-ch01`],</v>
      </c>
    </row>
    <row r="205" spans="1:4" ht="255" hidden="1">
      <c r="A205" s="3" t="s">
        <v>52</v>
      </c>
      <c r="B205" s="5" t="s">
        <v>516</v>
      </c>
      <c r="C205" s="3" t="s">
        <v>495</v>
      </c>
      <c r="D205" s="3" t="str">
        <f t="shared" si="4"/>
        <v>[`Understand the different types of databases discussed in the text:`,``,``,``,``, ``,`&lt;p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 `IS380-ch01`],</v>
      </c>
    </row>
    <row r="206" spans="1:4" ht="90" hidden="1">
      <c r="A206" s="3" t="s">
        <v>54</v>
      </c>
      <c r="B206" s="5" t="s">
        <v>53</v>
      </c>
      <c r="C206" s="3" t="s">
        <v>495</v>
      </c>
      <c r="D206" s="3" t="str">
        <f t="shared" si="4"/>
        <v>[`NOSQL DB`,``,``,``,``, ``,`d.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 `IS380-ch01`],</v>
      </c>
    </row>
    <row r="207" spans="1:4" ht="105" hidden="1">
      <c r="A207" s="6" t="s">
        <v>56</v>
      </c>
      <c r="B207" s="5" t="s">
        <v>517</v>
      </c>
      <c r="C207" s="3" t="s">
        <v>495</v>
      </c>
      <c r="D207" s="3" t="str">
        <f t="shared" si="4"/>
        <v>[`Transactional (production) database (OLTP)`,``,``,``,``, ``,`i.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`IS380-ch01`],</v>
      </c>
    </row>
    <row r="208" spans="1:4" hidden="1">
      <c r="A208" s="1" t="s">
        <v>57</v>
      </c>
      <c r="B208" s="3" t="s">
        <v>518</v>
      </c>
      <c r="C208" s="3" t="s">
        <v>495</v>
      </c>
      <c r="D208" s="3" t="str">
        <f t="shared" si="4"/>
        <v>[`Data warehouse database (OLAP) `,``,``,``,``, ``,`ii.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 `IS380-ch01`],</v>
      </c>
    </row>
    <row r="209" spans="1:4" ht="150" hidden="1">
      <c r="A209" s="3" t="s">
        <v>838</v>
      </c>
      <c r="B209" s="5" t="s">
        <v>877</v>
      </c>
      <c r="C209" s="3" t="s">
        <v>495</v>
      </c>
      <c r="D209" s="3" t="str">
        <f t="shared" si="4"/>
        <v>[`Degree of data structure`,``,``,``,``, ``,`&lt;p class='space'&gt;Unstructured data - Unstructured data is data that exists in its original (raw) state—that is, in the format in which it was collected. Therefore, unstructured data exists in a format that does not lend itself to the processing that yields information&lt;p class='space'&gt;Structured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`IS380-ch01`],</v>
      </c>
    </row>
    <row r="210" spans="1:4" hidden="1">
      <c r="A210" s="1" t="s">
        <v>61</v>
      </c>
      <c r="B210" s="7" t="s">
        <v>768</v>
      </c>
      <c r="C210" s="3" t="s">
        <v>495</v>
      </c>
      <c r="D210" s="3" t="str">
        <f t="shared" si="4"/>
        <v>[`Field`,``,``,``,``, ``,`&lt;p class='space'&gt;a. Field - A character or group of characters (alphabetic or numeric) that has a specific meaning. &lt;p class='space'&gt; A field is used to define and store data&lt;p class='space'&gt;In data base terms, a field is an attribute.`, `IS380-ch01`],</v>
      </c>
    </row>
    <row r="211" spans="1:4" hidden="1">
      <c r="A211" s="8" t="s">
        <v>65</v>
      </c>
      <c r="B211" s="3" t="s">
        <v>769</v>
      </c>
      <c r="C211" s="3" t="s">
        <v>495</v>
      </c>
      <c r="D211" s="3" t="str">
        <f t="shared" si="4"/>
        <v>[`Record`,``,``,``,``, ``,`&lt;p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 `IS380-ch01`],</v>
      </c>
    </row>
    <row r="212" spans="1:4" hidden="1">
      <c r="A212" s="3" t="s">
        <v>64</v>
      </c>
      <c r="B212" s="3" t="s">
        <v>519</v>
      </c>
      <c r="C212" s="3" t="s">
        <v>495</v>
      </c>
      <c r="D212" s="3" t="str">
        <f t="shared" si="4"/>
        <v>[`file`,``,``,``,``, ``,`&lt;p class='space'&gt;c. File - A collection of related records. &lt;p class='space'&gt;For example, a file might contain data about the students currently enrolled at gigantic University.`, `IS380-ch01`],</v>
      </c>
    </row>
    <row r="213" spans="1:4" ht="75" hidden="1">
      <c r="A213" s="3" t="s">
        <v>846</v>
      </c>
      <c r="B213" s="5" t="s">
        <v>520</v>
      </c>
      <c r="C213" s="3" t="s">
        <v>495</v>
      </c>
      <c r="D213" s="3" t="str">
        <f t="shared" si="4"/>
        <v>[`What are some problems with using manual file systems for data processing? `,``,``,``,``, ``,`&lt;p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`IS380-ch01`],</v>
      </c>
    </row>
    <row r="214" spans="1:4">
      <c r="A214" s="9" t="s">
        <v>69</v>
      </c>
      <c r="B214" s="3" t="s">
        <v>765</v>
      </c>
      <c r="C214" s="3" t="s">
        <v>495</v>
      </c>
      <c r="D214" s="3" t="str">
        <f t="shared" si="4"/>
        <v>[`To be considered a Minimally Relational Database, which relational operators must the database support? `,``,``,``,``, ``,`&lt;p class='space'&gt;Select,&lt;p class='space'&gt;Project,&lt;p class='space'&gt;Join`, `IS380-ch01`],</v>
      </c>
    </row>
    <row r="215" spans="1:4" hidden="1">
      <c r="A215" s="3" t="s">
        <v>98</v>
      </c>
      <c r="B215" s="3" t="s">
        <v>521</v>
      </c>
      <c r="C215" s="3" t="s">
        <v>495</v>
      </c>
      <c r="D215" s="3" t="str">
        <f t="shared" si="4"/>
        <v>[`extended entity relationship (EER) model`,``,``,``,``, ``,`&lt;p class='space'&gt;The EER model builds on entity relationship (ER) concepts and adds support for entity supertypes, subtypes, and entity clustering, enhanced entity relationship model, is the result of adding more semantic constructs to the original ER model`, `IS380-ch01`],</v>
      </c>
    </row>
    <row r="216" spans="1:4" hidden="1">
      <c r="A216" s="3" t="s">
        <v>100</v>
      </c>
      <c r="B216" s="3" t="s">
        <v>522</v>
      </c>
      <c r="C216" s="3" t="s">
        <v>495</v>
      </c>
      <c r="D216" s="3" t="str">
        <f t="shared" si="4"/>
        <v>[`Entity Supertypes and Subtypes`,``,``,``,``, ``,`&lt;p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 `IS380-ch01`],</v>
      </c>
    </row>
    <row r="217" spans="1:4" hidden="1">
      <c r="A217" s="3" t="s">
        <v>102</v>
      </c>
      <c r="B217" s="3" t="s">
        <v>523</v>
      </c>
      <c r="C217" s="3" t="s">
        <v>495</v>
      </c>
      <c r="D217" s="3" t="str">
        <f t="shared" si="4"/>
        <v>[`inheritance`,``,``,``,``, ``,`&lt;p class='space'&gt;inheritance enables an entity subtype to inherit the attributes and relationships of the supertype, Entity subtypes inherit all relationships in which the supertype entity participates. `, `IS380-ch01`],</v>
      </c>
    </row>
    <row r="218" spans="1:4" ht="15.75" hidden="1">
      <c r="A218" s="10" t="s">
        <v>104</v>
      </c>
      <c r="B218" s="3" t="s">
        <v>524</v>
      </c>
      <c r="C218" s="3" t="s">
        <v>495</v>
      </c>
      <c r="D218" s="3" t="str">
        <f t="shared" si="4"/>
        <v>[`Subtype Discriminator`,``,``,``,``, ``,`&lt;p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`IS380-ch01`],</v>
      </c>
    </row>
    <row r="219" spans="1:4" hidden="1">
      <c r="A219" s="3" t="s">
        <v>106</v>
      </c>
      <c r="B219" s="3" t="s">
        <v>525</v>
      </c>
      <c r="C219" s="3" t="s">
        <v>495</v>
      </c>
      <c r="D219" s="3" t="str">
        <f t="shared" si="4"/>
        <v>[`Completeness Constraint`,``,``,``,``, ``,`&lt;p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`IS380-ch01`],</v>
      </c>
    </row>
    <row r="220" spans="1:4" ht="15.75" hidden="1">
      <c r="A220" s="10" t="s">
        <v>108</v>
      </c>
      <c r="B220" s="3" t="s">
        <v>526</v>
      </c>
      <c r="C220" s="3" t="s">
        <v>495</v>
      </c>
      <c r="D220" s="3" t="str">
        <f t="shared" si="4"/>
        <v>[`Specialization and Generalization`,``,``,``,``, ``,`&lt;p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 `IS380-ch01`],</v>
      </c>
    </row>
    <row r="221" spans="1:4" hidden="1">
      <c r="A221" s="3" t="s">
        <v>110</v>
      </c>
      <c r="B221" s="3" t="s">
        <v>527</v>
      </c>
      <c r="C221" s="3" t="s">
        <v>495</v>
      </c>
      <c r="D221" s="3" t="str">
        <f t="shared" si="4"/>
        <v>[`Entity Clustering`,``,``,``,``, ``,`&lt;p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 `IS380-ch01`],</v>
      </c>
    </row>
    <row r="222" spans="1:4" hidden="1">
      <c r="A222" s="3" t="s">
        <v>112</v>
      </c>
      <c r="B222" s="3" t="s">
        <v>870</v>
      </c>
      <c r="C222" s="3" t="s">
        <v>495</v>
      </c>
      <c r="D222" s="3" t="str">
        <f t="shared" si="4"/>
        <v>[`primary key`,``,``,``,``, ``,` &lt;p class='space'&gt;(a single attribute or some combination of attributes), which uniquely identifies each entity instance. function of the primary key is to guarantee entity integrity, not to “describe” the entity\nA null is never allowed in any part of the primary key.`, `IS380-ch01`],</v>
      </c>
    </row>
    <row r="223" spans="1:4" hidden="1">
      <c r="A223" s="3" t="s">
        <v>114</v>
      </c>
      <c r="B223" s="3" t="s">
        <v>113</v>
      </c>
      <c r="C223" s="3" t="s">
        <v>495</v>
      </c>
      <c r="D223" s="3" t="str">
        <f t="shared" si="4"/>
        <v>[`natural key or natural identifier`,``,``,``,``, ``,`natural key or natural identifier is a real-world, generally accepted identifier used to distinguish, that is, uniquely identify, real-world objects. `, `IS380-ch01`],</v>
      </c>
    </row>
    <row r="224" spans="1:4" hidden="1">
      <c r="A224" s="3" t="s">
        <v>116</v>
      </c>
      <c r="B224" s="3" t="s">
        <v>770</v>
      </c>
      <c r="C224" s="3" t="s">
        <v>495</v>
      </c>
      <c r="D224" s="3" t="str">
        <f t="shared" si="4"/>
        <v>[`Surrogate Primary Keys`,``,``,``,``, ``,`&lt;p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 `IS380-ch01`],</v>
      </c>
    </row>
    <row r="225" spans="1:4" hidden="1">
      <c r="A225" t="s">
        <v>496</v>
      </c>
      <c r="B225" s="3" t="s">
        <v>528</v>
      </c>
      <c r="C225" s="3" t="s">
        <v>495</v>
      </c>
      <c r="D225" s="3" t="str">
        <f t="shared" si="4"/>
        <v>[`What is structural dependence?`,``,``,``,``, ``,`&lt;p class='space'&gt;A data characteristic in which a change in the database schema affects data access, thus requiring changes in all access programs. structural dependence, which means access to the data in a file is dependent on its structure.`, `IS380-ch01`],</v>
      </c>
    </row>
    <row r="226" spans="1:4" hidden="1">
      <c r="A226" t="s">
        <v>497</v>
      </c>
      <c r="B226" s="3" t="s">
        <v>766</v>
      </c>
      <c r="C226" s="3" t="s">
        <v>495</v>
      </c>
      <c r="D226" s="3" t="str">
        <f t="shared" si="4"/>
        <v>[`What is data dependence?`,``,``,``,``, ``,`&lt;p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 `IS380-ch01`],</v>
      </c>
    </row>
    <row r="227" spans="1:4" hidden="1">
      <c r="A227" s="3" t="s">
        <v>498</v>
      </c>
      <c r="B227" s="3" t="s">
        <v>529</v>
      </c>
      <c r="C227" s="3" t="s">
        <v>495</v>
      </c>
      <c r="D227" s="3" t="str">
        <f t="shared" si="4"/>
        <v>[`The main objective of relational DBMSs is `,``,``,``,``, ``,`&lt;p class='space'&gt;data independence`, `IS380-ch01`],</v>
      </c>
    </row>
    <row r="228" spans="1:4" hidden="1">
      <c r="A228" t="s">
        <v>499</v>
      </c>
      <c r="B228" s="3" t="s">
        <v>530</v>
      </c>
      <c r="C228" s="3" t="s">
        <v>495</v>
      </c>
      <c r="D228" s="3" t="str">
        <f t="shared" si="4"/>
        <v>[`What does the term “Islands of Information” refer to?`,``,``,``,``, ``,`&lt;p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 `IS380-ch01`],</v>
      </c>
    </row>
    <row r="229" spans="1:4" hidden="1">
      <c r="A229" t="s">
        <v>500</v>
      </c>
      <c r="B229" s="3" t="s">
        <v>767</v>
      </c>
      <c r="C229" s="3" t="s">
        <v>495</v>
      </c>
      <c r="D229" s="3" t="str">
        <f t="shared" si="4"/>
        <v>[`What is data redundancy?`,``,``,``,``, ``,`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 `IS380-ch01`],</v>
      </c>
    </row>
    <row r="230" spans="1:4" hidden="1">
      <c r="A230" t="s">
        <v>501</v>
      </c>
      <c r="B230" t="s">
        <v>531</v>
      </c>
      <c r="C230" s="3" t="s">
        <v>495</v>
      </c>
      <c r="D230" s="3" t="str">
        <f t="shared" si="4"/>
        <v>[`What are data redundancy problems?`,``,``,``,``, ``,`&lt;p class='space'&gt;Increases the size of the database unnecessarily. &lt;p class='space'&gt;Poor data security. &lt;p class='space'&gt;Data inconsistency. &lt;p class='space'&gt;Data-entry errors. &lt;p class='space'&gt;Data integrity problems. &lt;p class='space'&gt;Decreases efficiency of database.`, `IS380-ch01`],</v>
      </c>
    </row>
    <row r="231" spans="1:4" hidden="1">
      <c r="A231" t="s">
        <v>502</v>
      </c>
      <c r="B231" t="s">
        <v>771</v>
      </c>
      <c r="C231" s="3" t="s">
        <v>495</v>
      </c>
      <c r="D231" s="3" t="str">
        <f t="shared" ref="D231:D262" si="5">"[`" &amp; A231 &amp; "`,``,``,``,``, ``,`"  &amp; B231 &amp; "`, `" &amp; C231 &amp; "`]" &amp; IF(C232&lt;&gt;"",",","")</f>
        <v>[`What is SQL (Structured Query Language)? `,``,``,``,``, ``,`&lt;p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 `IS380-ch01`],</v>
      </c>
    </row>
    <row r="232" spans="1:4" hidden="1">
      <c r="A232" t="s">
        <v>503</v>
      </c>
      <c r="B232" s="3" t="s">
        <v>772</v>
      </c>
      <c r="C232" s="3" t="s">
        <v>495</v>
      </c>
      <c r="D232" s="3" t="str">
        <f t="shared" si="5"/>
        <v>[`CRUD`,``,``,``,``, ``,`&lt;p class='space'&gt; (CRUD) are the four basic functions of persistent storage.&lt;p class='space'&gt;Create&lt;p class='space'&gt;Read&lt;p class='space'&gt;Update&lt;p class='space'&gt;Delete`, `IS380-ch01`],</v>
      </c>
    </row>
    <row r="233" spans="1:4" hidden="1">
      <c r="A233" t="s">
        <v>799</v>
      </c>
      <c r="B233" t="s">
        <v>829</v>
      </c>
      <c r="C233" s="3" t="s">
        <v>495</v>
      </c>
      <c r="D233" s="3" t="str">
        <f t="shared" si="5"/>
        <v>[`What is structured data?`,``,``,``,``, ``,`&lt;p class='space'&gt;Structured data - Structured data is the result of formatting unstructured data to facilitate storage, use, and generation of information. &lt;p class='space'&gt;You apply structure (format) based on the type of processing that you intend to perform on the data. Some data might not be ready (unstructured) for some types of processing, but they might be ready (structured) for other types of processing.`, `IS380-ch01`],</v>
      </c>
    </row>
    <row r="234" spans="1:4" hidden="1">
      <c r="A234" t="s">
        <v>504</v>
      </c>
      <c r="B234" t="s">
        <v>532</v>
      </c>
      <c r="C234" s="3" t="s">
        <v>505</v>
      </c>
      <c r="D234" s="3" t="str">
        <f t="shared" si="5"/>
        <v>[`What is a Database Model and why is it important?`,``,``,``,``, ``,`&lt;p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 `IS380-ch02`],</v>
      </c>
    </row>
    <row r="235" spans="1:4" hidden="1">
      <c r="A235" t="s">
        <v>506</v>
      </c>
      <c r="B235" t="s">
        <v>533</v>
      </c>
      <c r="C235" s="3" t="s">
        <v>505</v>
      </c>
      <c r="D235" s="3" t="str">
        <f t="shared" si="5"/>
        <v>[`What is an entity?`,``,``,``,``, ``,`&lt;p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 `IS380-ch02`],</v>
      </c>
    </row>
    <row r="236" spans="1:4" hidden="1">
      <c r="A236" t="s">
        <v>507</v>
      </c>
      <c r="B236" t="s">
        <v>534</v>
      </c>
      <c r="C236" s="3" t="s">
        <v>505</v>
      </c>
      <c r="D236" s="3" t="str">
        <f t="shared" si="5"/>
        <v>[`What is an attribute?`,``,``,``,``, ``,`&lt;p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 `IS380-ch02`],</v>
      </c>
    </row>
    <row r="237" spans="1:4" hidden="1">
      <c r="A237" t="s">
        <v>508</v>
      </c>
      <c r="B237" t="s">
        <v>535</v>
      </c>
      <c r="C237" s="3" t="s">
        <v>505</v>
      </c>
      <c r="D237" s="3" t="str">
        <f t="shared" si="5"/>
        <v>[`What is a relationship?`,``,``,``,``, ``,`&lt;p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 `IS380-ch02`],</v>
      </c>
    </row>
    <row r="238" spans="1:4" hidden="1">
      <c r="A238" t="s">
        <v>509</v>
      </c>
      <c r="B238" t="s">
        <v>773</v>
      </c>
      <c r="C238" s="3" t="s">
        <v>505</v>
      </c>
      <c r="D238" s="3" t="str">
        <f t="shared" si="5"/>
        <v>[`What are business rules and how they are used in database modeling context?`,``,``,``,``, ``,`&lt;p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 `IS380-ch02`],</v>
      </c>
    </row>
    <row r="239" spans="1:4" ht="60" hidden="1">
      <c r="A239" s="11" t="s">
        <v>515</v>
      </c>
      <c r="B239" s="11" t="s">
        <v>536</v>
      </c>
      <c r="C239" s="3" t="s">
        <v>505</v>
      </c>
      <c r="D239" s="3" t="str">
        <f t="shared" si="5"/>
        <v>[`What is a constraint? `,``,``,``,``, ``,`&lt;p class='space'&gt;A constraint is a restriction placed on the data. &lt;p class='space'&gt;Constraints are important because they help to ensure data integrity. Constraints are normally expressed in the form of rules: For example, Each class must have one and only one teacher.`, `IS380-ch02`],</v>
      </c>
    </row>
    <row r="240" spans="1:4" hidden="1">
      <c r="A240" t="s">
        <v>510</v>
      </c>
      <c r="B240" t="s">
        <v>537</v>
      </c>
      <c r="C240" s="3" t="s">
        <v>505</v>
      </c>
      <c r="D240" s="3" t="str">
        <f t="shared" si="5"/>
        <v>[`Hierarchical Model – `,``,``,``,``, ``,`&lt;p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 `IS380-ch02`],</v>
      </c>
    </row>
    <row r="241" spans="1:4" hidden="1">
      <c r="A241" t="s">
        <v>511</v>
      </c>
      <c r="B241" t="s">
        <v>782</v>
      </c>
      <c r="C241" s="3" t="s">
        <v>505</v>
      </c>
      <c r="D241" s="3" t="str">
        <f t="shared" si="5"/>
        <v>[`Network Model`,``,``,``,``, ``,`&lt;p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DDL - data definition language and DML - data manipulation language. &lt;p class='space'&gt;Disadvantage – complex limits efficiency, navigation system yields complex implementation – app development and management; Structurally dependent.`, `IS380-ch02`],</v>
      </c>
    </row>
    <row r="242" spans="1:4" hidden="1">
      <c r="A242" t="s">
        <v>512</v>
      </c>
      <c r="B242" t="s">
        <v>538</v>
      </c>
      <c r="C242" s="3" t="s">
        <v>505</v>
      </c>
      <c r="D242" s="3" t="str">
        <f t="shared" si="5"/>
        <v>[`Relational Model`,``,``,``,``, ``,`&lt;p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 `IS380-ch02`],</v>
      </c>
    </row>
    <row r="243" spans="1:4" hidden="1">
      <c r="A243" t="s">
        <v>513</v>
      </c>
      <c r="B243" t="s">
        <v>539</v>
      </c>
      <c r="C243" s="3" t="s">
        <v>505</v>
      </c>
      <c r="D243" s="3" t="str">
        <f t="shared" si="5"/>
        <v>[`RDBMs - relational database management system (RDBMs).`,``,``,``,``, ``,`&lt;p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 `IS380-ch02`],</v>
      </c>
    </row>
    <row r="244" spans="1:4">
      <c r="A244" t="s">
        <v>783</v>
      </c>
      <c r="B244" t="s">
        <v>540</v>
      </c>
      <c r="C244" s="3" t="s">
        <v>505</v>
      </c>
      <c r="D244" s="3" t="str">
        <f t="shared" si="5"/>
        <v>[`Object Oriented data model`,``,``,``,``, ``,`&lt;p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`IS380-ch02`],</v>
      </c>
    </row>
    <row r="245" spans="1:4" hidden="1">
      <c r="A245" t="s">
        <v>784</v>
      </c>
      <c r="B245" t="s">
        <v>805</v>
      </c>
      <c r="C245" s="3" t="s">
        <v>505</v>
      </c>
      <c r="D245" s="3" t="str">
        <f t="shared" si="5"/>
        <v>[`Extended Relational Data Model  - (ERDM)`,``,``,``,``, ``,`&lt;p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&lt;p class='space'&gt;Today, most relational database products can be classified as object/relational, and they represent the dominant market share of OLTP and OLAP database applications.`, `IS380-ch02`],</v>
      </c>
    </row>
    <row r="246" spans="1:4" hidden="1">
      <c r="A246" t="s">
        <v>514</v>
      </c>
      <c r="B246" t="s">
        <v>806</v>
      </c>
      <c r="C246" s="3" t="s">
        <v>505</v>
      </c>
      <c r="D246" s="3" t="str">
        <f t="shared" si="5"/>
        <v>[`What is semantic data?`,``,``,``,``, ``,`&lt;p class='space'&gt;Semantic data systems are designed to represent the real world as accurately as possible within the data set. &lt;p class='space'&gt;Data symbols are organized linearly and hierarchically to give certain meanings like the one described above. &lt;p class='space'&gt;By representing the real world within data sets, semantic data allow machines to interact with worldly information without human interpretation. &lt;p class='space'&gt;In order of lowest to highest for semantic data, hierarchical, network, Relational, entity relationship, OO and O/R DBMS.`, `IS380-ch02`],</v>
      </c>
    </row>
    <row r="247" spans="1:4" hidden="1">
      <c r="A247" t="s">
        <v>785</v>
      </c>
      <c r="B247" t="s">
        <v>821</v>
      </c>
      <c r="C247" s="3" t="s">
        <v>505</v>
      </c>
      <c r="D247" s="3" t="str">
        <f t="shared" si="5"/>
        <v>[`What is a class? – `,``,``,``,``, ``,`&lt;p class='space'&gt;A class is a template for an object.`, `IS380-ch02`],</v>
      </c>
    </row>
    <row r="248" spans="1:4" hidden="1">
      <c r="A248" t="s">
        <v>786</v>
      </c>
      <c r="B248" t="s">
        <v>822</v>
      </c>
      <c r="C248" s="3" t="s">
        <v>505</v>
      </c>
      <c r="D248" s="3" t="str">
        <f t="shared" si="5"/>
        <v>[`What is inheritance? - `,``,``,``,``, ``,`&lt;p class='space'&gt;Inheritance is defined as the ability of a lower-level object to inherit, or access, the data items and behaviors associated with all classes which are above it in the class hierarchy. In DBMS inheritance can be achieved by the “ISA-relationship”.`, `IS380-ch02`],</v>
      </c>
    </row>
    <row r="249" spans="1:4" hidden="1">
      <c r="A249" t="s">
        <v>787</v>
      </c>
      <c r="B249" t="s">
        <v>823</v>
      </c>
      <c r="C249" s="3" t="s">
        <v>505</v>
      </c>
      <c r="D249" s="3" t="str">
        <f t="shared" si="5"/>
        <v>[`What is the Extended Relational Model?`,``,``,``,``, ``,`&lt;p class='space'&gt;ERDBMSs have characteristics of both an RDBMS and an ODBMS (thus, the loose application of the ORDBMS label). &lt;p class='space'&gt;ERDBMS products provide a relational data model and query language that have been extended to include many of the features that are typical of ODBMSs.`, `IS380-ch02`],</v>
      </c>
    </row>
    <row r="250" spans="1:4" hidden="1">
      <c r="A250" t="s">
        <v>788</v>
      </c>
      <c r="B250" t="s">
        <v>824</v>
      </c>
      <c r="C250" s="3" t="s">
        <v>505</v>
      </c>
      <c r="D250" s="3" t="str">
        <f t="shared" si="5"/>
        <v>[`What is XML?`,``,``,``,``, ``,`&lt;p class='space'&gt;Extensible Mark up language. a metalanguage which allows users to define their own customized markup languages, especially in order to display documents on the Internet. &lt;p class='space'&gt;Extensible Markup Language (XML) is a simple, very flexible text format derived from SGML (Standard Generalized Markup Language) (ISO 8879).&lt;p class='space'&gt;Originally designed to meet the challenges of large-scale electronic publishing, XML is also playing an increasingly important role in the exchange of a wide variety of data on the Web and elsewhere.`, `IS380-ch02`],</v>
      </c>
    </row>
    <row r="251" spans="1:4" hidden="1">
      <c r="A251" t="s">
        <v>789</v>
      </c>
      <c r="B251" t="s">
        <v>825</v>
      </c>
      <c r="C251" s="3" t="s">
        <v>505</v>
      </c>
      <c r="D251" s="3" t="str">
        <f t="shared" si="5"/>
        <v>[`NoSQL - Why did they emerge?`,``,``,``,``, ``,`&lt;p class='space'&gt;A significant amount of the Data is unstructured today – Big Data. NoSQL databases are able to handle this type of data.`, `IS380-ch02`],</v>
      </c>
    </row>
    <row r="252" spans="1:4" hidden="1">
      <c r="A252" t="s">
        <v>790</v>
      </c>
      <c r="B252" t="s">
        <v>826</v>
      </c>
      <c r="C252" s="3" t="s">
        <v>505</v>
      </c>
      <c r="D252" s="3" t="str">
        <f t="shared" si="5"/>
        <v>[`NoSQL - What are their characteristics?`,``,``,``,``, ``,`&lt;p class='space'&gt;NoSQL databases are databases, and the NoSQL model represents a different way of approaching the storage and processing of data in a nonrelational way. NoSQL databases provide distributed, fault-tolerant databases for processing non-structured data.`, `IS380-ch02`],</v>
      </c>
    </row>
    <row r="253" spans="1:4" hidden="1">
      <c r="A253" t="s">
        <v>791</v>
      </c>
      <c r="B253" t="s">
        <v>827</v>
      </c>
      <c r="C253" s="3" t="s">
        <v>505</v>
      </c>
      <c r="D253" s="3" t="str">
        <f t="shared" si="5"/>
        <v>[`NoSQL - Is the priority performance or consistency?`,``,``,``,``, ``,`&lt;p class='space'&gt;They are geared for performance.`, `IS380-ch02`],</v>
      </c>
    </row>
    <row r="254" spans="1:4" hidden="1">
      <c r="A254" t="s">
        <v>792</v>
      </c>
      <c r="B254" t="s">
        <v>828</v>
      </c>
      <c r="C254" s="3" t="s">
        <v>505</v>
      </c>
      <c r="D254" s="3" t="str">
        <f t="shared" si="5"/>
        <v>[`NoSQL - What is the key-value data model?`,``,``,``,``, ``,`&lt;p class='space'&gt;The concept used by the JSON - Javascript Object notation. &lt;p class='space'&gt;Data is stored in key:value pairs. &lt;p class='space'&gt;A key-value pair (KVP) is an abstract data type that includes a group of key identifiers and a set of associated values. &lt;p class='space'&gt;Key-value pairs are frequently used in lookup tables, hash tables and configuration files. &lt;p class='space'&gt;A key-value database is a type of nonrelational database that uses a simple key-value method to store data. &lt;p class='space'&gt;A key-value database stores data as a collection of key-value pairs in which a key serves as a unique identifier. &lt;p class='space'&gt;Both keys and values can be anything, ranging from simple objects to complex compound objects. `, `IS380-ch02`],</v>
      </c>
    </row>
    <row r="255" spans="1:4" hidden="1">
      <c r="A255" t="s">
        <v>793</v>
      </c>
      <c r="B255" t="s">
        <v>796</v>
      </c>
      <c r="C255" t="s">
        <v>505</v>
      </c>
      <c r="D255" s="3" t="str">
        <f t="shared" si="5"/>
        <v>[`(4) data base models (classified by degrees of abstraction)`,``,``,``,``, ``,`&lt;p class='space'&gt;(1)External – Cover End-user views - Hardware and software independent.&lt;p class='space'&gt;(2)Conceptual – Covers Global view of data (database model independent) - Hardware and software independent. Conceptual models are better suited for high-level data modeling, while implementation models are better for managing stored data for implementation purposes. The ER model is an example of a conceptual model&lt;p class='space'&gt;(3)Internal – Covers Specific database model - Hardware independent.&lt;p class='space'&gt;(4)Physical – Covers Storage and access methods - Dependent on HW/SW. The physical model operates at the lowest level of abstraction, describing the way data is saved on storage media such as magnetic, solid state, or optical media.`, `IS380-ch02`],</v>
      </c>
    </row>
    <row r="256" spans="1:4" hidden="1">
      <c r="A256" t="s">
        <v>794</v>
      </c>
      <c r="B256" t="s">
        <v>797</v>
      </c>
      <c r="C256" t="s">
        <v>505</v>
      </c>
      <c r="D256" s="3" t="str">
        <f t="shared" si="5"/>
        <v>[`What is Big Data?`,``,``,``,``, ``,`&lt;p class='space'&gt;Big Data -  movement to find new and better ways to manage large amounts of web-and sensor-generated data and derive business insight from it, while simultaneously providing high performance and scalability at a reasonable cost. `, `IS380-ch02`],</v>
      </c>
    </row>
    <row r="257" spans="1:4" hidden="1">
      <c r="A257" t="s">
        <v>795</v>
      </c>
      <c r="B257" t="s">
        <v>798</v>
      </c>
      <c r="C257" t="s">
        <v>505</v>
      </c>
      <c r="D257" s="3" t="str">
        <f t="shared" si="5"/>
        <v>[`Three V's of bid data:`,``,``,``,``, ``,`&lt;p class='space'&gt;(1)Volume - refers to the amounts of data being stored. organizations are using multiple technologies to interact with end users and those technologies are generating mountains of data. This ever-growing volume of data quickly reached petabytes in size&lt;p class='space'&gt;(2)Velocity - refers not only to the speed with which data grows but also to the need to process this data quickly in order to generate information and insight. Organizations need not only to store large volumes of quickly accumulating data but also need to process such data quickly. The velocity of data growth is also due to the increase in the number of different data streams from which data is being piped to the organization (via the web, e-commerce, Tweets, Facebook posts, emails, sensors, GPS, and so on).&lt;p class='space'&gt;(3)Variety - refers to the fact that the data being collected comes in multiple different data formats. A great portion of these data comes in formats not suitable to be handled by the typical operational databases based on the relational model.`, `IS380-ch02`],</v>
      </c>
    </row>
    <row r="258" spans="1:4" hidden="1">
      <c r="A258" t="s">
        <v>558</v>
      </c>
      <c r="B258" t="s">
        <v>610</v>
      </c>
      <c r="C258" s="3" t="s">
        <v>541</v>
      </c>
      <c r="D258" s="3" t="str">
        <f t="shared" si="5"/>
        <v>[`What is the difference between a database and a table?`,``,``,``,``, ``,`&lt;p class='space'&gt;A table is an object that lists information in rows and columns.&lt;p class='space'&gt;A database is a collection of tables that includes relationships to tie the tables together.`, `IS380-ch03`],</v>
      </c>
    </row>
    <row r="259" spans="1:4" hidden="1">
      <c r="A259" t="s">
        <v>559</v>
      </c>
      <c r="B259" t="s">
        <v>611</v>
      </c>
      <c r="C259" s="3" t="s">
        <v>541</v>
      </c>
      <c r="D259" s="3" t="str">
        <f t="shared" si="5"/>
        <v>[`What is an Attribute Domain?`,``,``,``,``, ``,`&lt;p class='space'&gt;An attribute domain is a range of values for a column / attribute. E.g. a column for student GPA can have a value between 0 and 4.0.`, `IS380-ch03`],</v>
      </c>
    </row>
    <row r="260" spans="1:4" hidden="1">
      <c r="A260" t="s">
        <v>560</v>
      </c>
      <c r="B260" t="s">
        <v>612</v>
      </c>
      <c r="C260" s="3" t="s">
        <v>541</v>
      </c>
      <c r="D260" s="3" t="str">
        <f t="shared" si="5"/>
        <v>[`What are keys?`,``,``,``,``, ``,`&lt;p class='space'&gt;One or more attributes that determine other attributes.&lt;p class='space'&gt;They ensure that each tuple within a table is uniquely identified.&lt;p class='space'&gt;Keys are used to link data form one table to another table.`, `IS380-ch03`],</v>
      </c>
    </row>
    <row r="261" spans="1:4" hidden="1">
      <c r="A261" t="s">
        <v>561</v>
      </c>
      <c r="B261" t="s">
        <v>613</v>
      </c>
      <c r="C261" s="3" t="s">
        <v>541</v>
      </c>
      <c r="D261" s="3" t="str">
        <f t="shared" si="5"/>
        <v>[`In reference to dependencies - define determinant`,``,``,``,``, ``,`&lt;p class='space'&gt;Any attribute in a specific row whose value directly determines other values in that row.&lt;p class='space'&gt;A determinant in a database table is any attribute that you can use to determine the values assigned to other attribute(s) in the same row.`, `IS380-ch03`],</v>
      </c>
    </row>
    <row r="262" spans="1:4" hidden="1">
      <c r="A262" t="s">
        <v>562</v>
      </c>
      <c r="B262" t="s">
        <v>614</v>
      </c>
      <c r="C262" s="3" t="s">
        <v>541</v>
      </c>
      <c r="D262" s="3" t="str">
        <f t="shared" si="5"/>
        <v>[`In reference to dependencies - define dependent`,``,``,``,``, ``,`&lt;p class='space'&gt;An attribute whose value is determined by another attribute.`, `IS380-ch03`],</v>
      </c>
    </row>
    <row r="263" spans="1:4">
      <c r="A263" t="s">
        <v>564</v>
      </c>
      <c r="B263" t="s">
        <v>807</v>
      </c>
      <c r="C263" t="s">
        <v>541</v>
      </c>
      <c r="D263" s="3" t="str">
        <f t="shared" ref="D263:D294" si="6">"[`" &amp; A263 &amp; "`,``,``,``,``, ``,`"  &amp; B263 &amp; "`, `" &amp; C263 &amp; "`]" &amp; IF(C264&lt;&gt;"",",","")</f>
        <v>[`Primary Key (Important)`,``,``,``,``, ``,`&lt;p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 `IS380-ch03`],</v>
      </c>
    </row>
    <row r="264" spans="1:4" hidden="1">
      <c r="A264" t="s">
        <v>565</v>
      </c>
      <c r="B264" t="s">
        <v>858</v>
      </c>
      <c r="C264" t="s">
        <v>541</v>
      </c>
      <c r="D264" s="3" t="str">
        <f t="shared" si="6"/>
        <v>[`Foreign Key (Important)`,``,``,``,``, ``,`&lt;p class='space'&gt;An attribute or attributes in one table whose values must match the primary key in another table or whose values must be null.&lt;p class='space'&gt;This ties the row that the FK is in to another table that uses the attribute for its primary key.&lt;p class='space'&gt;a foreign key is used to establish relationship between two tables.`, `IS380-ch03`],</v>
      </c>
    </row>
    <row r="265" spans="1:4">
      <c r="A265" t="s">
        <v>566</v>
      </c>
      <c r="B265" t="s">
        <v>615</v>
      </c>
      <c r="C265" t="s">
        <v>541</v>
      </c>
      <c r="D265" s="3" t="str">
        <f t="shared" si="6"/>
        <v>[`Superkey`,``,``,``,``, ``,`&lt;p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`IS380-ch03`],</v>
      </c>
    </row>
    <row r="266" spans="1:4" hidden="1">
      <c r="A266" t="s">
        <v>567</v>
      </c>
      <c r="B266" t="s">
        <v>868</v>
      </c>
      <c r="C266" t="s">
        <v>541</v>
      </c>
      <c r="D266" s="3" t="str">
        <f t="shared" si="6"/>
        <v>[`Candidate key`,``,``,``,``, ``,`&lt;p class='space'&gt;Basically, a Candidate Key is a Super Key from which no more attributes can be pruned.&lt;p class='space'&gt;A Super Key identifies uniquely rows/tuples in a table/relation of a database.`, `IS380-ch03`],</v>
      </c>
    </row>
    <row r="267" spans="1:4" hidden="1">
      <c r="A267" t="s">
        <v>568</v>
      </c>
      <c r="B267" t="s">
        <v>871</v>
      </c>
      <c r="C267" t="s">
        <v>541</v>
      </c>
      <c r="D267" s="3" t="str">
        <f t="shared" si="6"/>
        <v>[`Secondary key/Index (Important)`,``,``,``,``, ``,`&lt;p class='space'&gt;Data retrieval for a customer is easier when the customer’s last name and phone number are used. In that case, the primary key is the customer number; the secondary key is the combination of the customer’s last name and phone number. Keep in mind that a secondary key does not necessarily yield a unique outcome.\nA secondary index is a data structure that contains a subset of attributes from a table, along with an alternate key to support Query operations.&lt;p class='space'&gt;You can retrieve data from the index using a Query, in much the same way as you use Query with a table.`, `IS380-ch03`],</v>
      </c>
    </row>
    <row r="268" spans="1:4" hidden="1">
      <c r="A268" t="s">
        <v>569</v>
      </c>
      <c r="B268" t="s">
        <v>616</v>
      </c>
      <c r="C268" t="s">
        <v>541</v>
      </c>
      <c r="D268" s="3" t="str">
        <f t="shared" si="6"/>
        <v>[`What is a Composite Key?`,``,``,``,``, ``,`&lt;p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 `IS380-ch03`],</v>
      </c>
    </row>
    <row r="269" spans="1:4" hidden="1">
      <c r="A269" t="s">
        <v>570</v>
      </c>
      <c r="B269" t="s">
        <v>869</v>
      </c>
      <c r="C269" t="s">
        <v>541</v>
      </c>
      <c r="D269" s="3" t="str">
        <f t="shared" si="6"/>
        <v>[`What is entity integrity?`,``,``,``,``, ``,`\nEntity integrity is the condition in which each row (entity instance) in the table has its own unique identity.&lt;p class='space'&gt;The property of a relational table that guarantees each entity has &lt;p class='space'&gt;(1)a unique value in a primary key and that &lt;p class='space'&gt;(2)the key has no null values.`, `IS380-ch03`],</v>
      </c>
    </row>
    <row r="270" spans="1:4" ht="60" hidden="1">
      <c r="A270" t="s">
        <v>571</v>
      </c>
      <c r="B270" s="11" t="s">
        <v>852</v>
      </c>
      <c r="C270" t="s">
        <v>541</v>
      </c>
      <c r="D270" s="3" t="str">
        <f t="shared" si="6"/>
        <v>[`What is referential integrity?`,``,``,``,``, ``,`&lt;p class='space'&gt;A condition by which a dependent table’s foreign key must have &lt;p class='space'&gt;(1)either a null entry or &lt;p class='space'&gt;(2)a matching entry in the related table.\nReferential integrity is not bidirectional`, `IS380-ch03`],</v>
      </c>
    </row>
    <row r="271" spans="1:4" hidden="1">
      <c r="A271" t="s">
        <v>572</v>
      </c>
      <c r="B271" t="s">
        <v>617</v>
      </c>
      <c r="C271" t="s">
        <v>541</v>
      </c>
      <c r="D271" s="3" t="str">
        <f t="shared" si="6"/>
        <v>[`What is a null? What are some issues associated with nulls?`,``,``,``,``, ``,`&lt;p class='space'&gt;A null is the absence of a value, in other words the value is unknown.&lt;p class='space'&gt;Nulls need special handling, if allowed. NULL breaks two-value (familiar True or False) logic, and requires a three-value logic.`, `IS380-ch03`],</v>
      </c>
    </row>
    <row r="272" spans="1:4" hidden="1">
      <c r="A272" t="s">
        <v>573</v>
      </c>
      <c r="B272" t="s">
        <v>618</v>
      </c>
      <c r="C272" t="s">
        <v>541</v>
      </c>
      <c r="D272" s="3" t="str">
        <f t="shared" si="6"/>
        <v>[`What is the System Catalog?`,``,``,``,``, ``,`&lt;p class='space'&gt;A detailed system data dictionary that describes all objects in a database.`, `IS380-ch03`],</v>
      </c>
    </row>
    <row r="273" spans="1:4" hidden="1">
      <c r="A273" t="s">
        <v>574</v>
      </c>
      <c r="B273" t="s">
        <v>619</v>
      </c>
      <c r="C273" t="s">
        <v>541</v>
      </c>
      <c r="D273" s="3" t="str">
        <f t="shared" si="6"/>
        <v>[`What is the Data Dictionary?`,``,``,``,``, ``,`&lt;p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 `IS380-ch03`],</v>
      </c>
    </row>
    <row r="274" spans="1:4" hidden="1">
      <c r="A274" t="s">
        <v>575</v>
      </c>
      <c r="B274" t="s">
        <v>620</v>
      </c>
      <c r="C274" t="s">
        <v>541</v>
      </c>
      <c r="D274" s="3" t="str">
        <f t="shared" si="6"/>
        <v>[`What are database homonyms? Give an example.`,``,``,``,``, ``,`&lt;p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 `IS380-ch03`],</v>
      </c>
    </row>
    <row r="275" spans="1:4" hidden="1">
      <c r="A275" t="s">
        <v>576</v>
      </c>
      <c r="B275" t="s">
        <v>621</v>
      </c>
      <c r="C275" t="s">
        <v>541</v>
      </c>
      <c r="D275" s="3" t="str">
        <f t="shared" si="6"/>
        <v>[`What are database synonyms? Give an example.`,``,``,``,``, ``,`&lt;p class='space'&gt;A database synonym is the use of different words for the same type of entity, Auto vs car or address vs location.`, `IS380-ch03`],</v>
      </c>
    </row>
    <row r="276" spans="1:4" hidden="1">
      <c r="A276" t="s">
        <v>577</v>
      </c>
      <c r="B276" t="s">
        <v>622</v>
      </c>
      <c r="C276" t="s">
        <v>541</v>
      </c>
      <c r="D276" s="3" t="str">
        <f t="shared" si="6"/>
        <v>[`What is a composite entity used for (also referred to as bridge entity or an associative entity)`,``,``,``,``, ``,`&lt;p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 `IS380-ch03`],</v>
      </c>
    </row>
    <row r="277" spans="1:4" hidden="1">
      <c r="A277" t="s">
        <v>859</v>
      </c>
      <c r="B277" t="s">
        <v>857</v>
      </c>
      <c r="C277" t="s">
        <v>541</v>
      </c>
      <c r="D277" s="3" t="str">
        <f t="shared" si="6"/>
        <v>[`ERM (entity relationship model) vs ERD (entity relationship diagrams_`,``,``,``,``, ``,`&lt;p class='space'&gt;The ERM uses ERDs to represent the conceptual database as viewed by the end user. &lt;p class='space'&gt;The ERM’s main components are entities, relationships, and attributes. &lt;p class='space'&gt;The ERD includes connectivity and cardinality notations, and can also show relationship strength, relationship participation (optional or mandatory), and degree of relationship (such as unary, binary, or ternary).`, `IS380-ch03`],</v>
      </c>
    </row>
    <row r="278" spans="1:4" hidden="1">
      <c r="A278" t="s">
        <v>860</v>
      </c>
      <c r="B278" t="s">
        <v>861</v>
      </c>
      <c r="C278" t="s">
        <v>541</v>
      </c>
      <c r="D278" s="3" t="str">
        <f t="shared" si="6"/>
        <v>[`Entity set and table`,``,``,``,``, ``,`\nthe terms entity set and table are often used interchangeably\nYou can think of a table as a persistent representation of a logical relation—that is, a relation whose contents can be permanently saved for future use. \nAs far as the table’s user is concerned, a table contains a group of related entity occurrences—that is, an entity set. For example, a STUDENT table contains a collection of entity occurrences, each representing a student.`, `IS380-ch03`],</v>
      </c>
    </row>
    <row r="279" spans="1:4" hidden="1">
      <c r="A279" t="s">
        <v>862</v>
      </c>
      <c r="B279" t="s">
        <v>863</v>
      </c>
      <c r="C279" t="s">
        <v>541</v>
      </c>
      <c r="D279" s="3" t="str">
        <f t="shared" si="6"/>
        <v>[`Logical vs Physical concepts`,``,``,``,``, ``,`\nThe database table is a logical concept rather than a physical concept, and the terms file, record, and field describe physical concepts.`, `IS380-ch03`],</v>
      </c>
    </row>
    <row r="280" spans="1:4" hidden="1">
      <c r="A280" t="s">
        <v>865</v>
      </c>
      <c r="B280" t="s">
        <v>864</v>
      </c>
      <c r="C280" t="s">
        <v>541</v>
      </c>
      <c r="D280" s="3" t="str">
        <f t="shared" si="6"/>
        <v>[`Determination is the:`,``,``,``,``, ``,`\nDetermination is the state in which knowing the value of one attribute makes it possible to determine the value of another.`, `IS380-ch03`],</v>
      </c>
    </row>
    <row r="281" spans="1:4" hidden="1">
      <c r="A281" t="s">
        <v>866</v>
      </c>
      <c r="B281" t="s">
        <v>867</v>
      </c>
      <c r="C281" t="s">
        <v>541</v>
      </c>
      <c r="D281" s="3" t="str">
        <f t="shared" si="6"/>
        <v>[`functional dependence`,``,``,``,``, ``,`\nA specific terminology and notation is used to describe relationships based on determination. The relationship is called functional dependence, which means that the value of one or more attributes determines the value of one or more other attributes.\nthe attribute whose value determines another is called the determinant or the key.\nThe attribute whose value is determined by the other attribute is called the dependent.`, `IS380-ch03`],</v>
      </c>
    </row>
    <row r="282" spans="1:4" hidden="1">
      <c r="A282" t="s">
        <v>578</v>
      </c>
      <c r="B282" t="s">
        <v>623</v>
      </c>
      <c r="C282" t="s">
        <v>563</v>
      </c>
      <c r="D282" s="3" t="str">
        <f t="shared" si="6"/>
        <v>[`What are the advantages/disadvantages of storing derived values?`,``,``,``,``, ``,`&lt;p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 `IS380-ch04`],</v>
      </c>
    </row>
    <row r="283" spans="1:4" hidden="1">
      <c r="A283" t="s">
        <v>579</v>
      </c>
      <c r="B283" t="s">
        <v>624</v>
      </c>
      <c r="C283" t="s">
        <v>563</v>
      </c>
      <c r="D283" s="3" t="str">
        <f t="shared" si="6"/>
        <v>[`How should relational databases implement the following? - Many to Many relationship`,``,``,``,``, ``,`&lt;p class='space'&gt;create a new entity by using a bridging table.`, `IS380-ch04`],</v>
      </c>
    </row>
    <row r="284" spans="1:4" hidden="1">
      <c r="A284" t="s">
        <v>580</v>
      </c>
      <c r="B284" t="s">
        <v>625</v>
      </c>
      <c r="C284" t="s">
        <v>563</v>
      </c>
      <c r="D284" s="3" t="str">
        <f t="shared" si="6"/>
        <v>[`How should relational databases implement the following? - Multi-valued attributes`,``,``,``,``, ``,`&lt;p class='space'&gt;either create multiple attributes to cover all possibilities or create a new entity using a bridge table to handle multiple values.`, `IS380-ch04`],</v>
      </c>
    </row>
    <row r="285" spans="1:4" hidden="1">
      <c r="A285" t="s">
        <v>581</v>
      </c>
      <c r="B285" t="s">
        <v>626</v>
      </c>
      <c r="C285" t="s">
        <v>563</v>
      </c>
      <c r="D285" s="3" t="str">
        <f t="shared" si="6"/>
        <v>[`What is a weak/non-identifying relationship (how is it depicted in a Crow’s Foot ERD)?`,``,``,``,``, ``,`&lt;p class='space'&gt;A weak relationship, also known as a non-identifying relationship, exists if the primary key of the related entity does not contain a primary key component of the parent entity.&lt;p class='space'&gt;It is depicted in a crow’s foot diagram using a dotted line.`, `IS380-ch04`],</v>
      </c>
    </row>
    <row r="286" spans="1:4" hidden="1">
      <c r="A286" t="s">
        <v>583</v>
      </c>
      <c r="B286" t="s">
        <v>627</v>
      </c>
      <c r="C286" t="s">
        <v>563</v>
      </c>
      <c r="D286" s="3" t="str">
        <f t="shared" si="6"/>
        <v>[`What is a strong/identifying relationship (how is it depicted in a Crow’s Foot ERD)?`,``,``,``,``, ``,`&lt;p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 `IS380-ch04`],</v>
      </c>
    </row>
    <row r="287" spans="1:4" hidden="1">
      <c r="A287" t="s">
        <v>582</v>
      </c>
      <c r="B287" t="s">
        <v>834</v>
      </c>
      <c r="C287" t="s">
        <v>563</v>
      </c>
      <c r="D287" s="3" t="str">
        <f t="shared" si="6"/>
        <v>[`What are the differences between existence-dependent and existence-independent entities?`,``,``,``,``, ``,`&lt;p class='space'&gt;Existence dependent means the entity requires a parent to exist.&lt;p class='space'&gt;For example, a dependent cannot exist in an HR database if it is not associated with and employee. Existence independent mean the entity can exist on its own.\nAn entity is said to be existence-dependent if it can exist in the database only when it is associated with another related entity occurrence.`, `IS380-ch04`],</v>
      </c>
    </row>
    <row r="288" spans="1:4" hidden="1">
      <c r="A288" t="s">
        <v>584</v>
      </c>
      <c r="B288" t="s">
        <v>835</v>
      </c>
      <c r="C288" t="s">
        <v>563</v>
      </c>
      <c r="D288" s="3" t="str">
        <f t="shared" si="6"/>
        <v>[`What is a weak entity (what two conditions must be met)?`,``,``,``,``, ``,`&lt;p class='space'&gt;An entity that displays &lt;p class='space'&gt;(1) existence dependence and &lt;p class='space'&gt;(2) inherits the primary key of its parent entity as its entire of part of its primary key or\n( the PK of the related entity contains a PK component of the parent entity.}`, `IS380-ch04`],</v>
      </c>
    </row>
    <row r="289" spans="1:4" hidden="1">
      <c r="A289" t="s">
        <v>585</v>
      </c>
      <c r="B289" t="s">
        <v>628</v>
      </c>
      <c r="C289" t="s">
        <v>563</v>
      </c>
      <c r="D289" s="3" t="str">
        <f t="shared" si="6"/>
        <v>[`What is a strong entity? Is it the same as a regular entity?`,``,``,``,``, ``,`&lt;p class='space'&gt;An entity that is existence-independent, meaning it can exist apart from all of its related entities. It is also called a regular entity.`, `IS380-ch04`],</v>
      </c>
    </row>
    <row r="290" spans="1:4" hidden="1">
      <c r="A290" t="s">
        <v>586</v>
      </c>
      <c r="B290" t="s">
        <v>629</v>
      </c>
      <c r="C290" t="s">
        <v>563</v>
      </c>
      <c r="D290" s="3" t="str">
        <f t="shared" si="6"/>
        <v>[`What is the difference between a composite key and a composite entity?`,``,``,``,``, ``,`&lt;p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 `IS380-ch04`],</v>
      </c>
    </row>
    <row r="291" spans="1:4" hidden="1">
      <c r="A291" t="s">
        <v>587</v>
      </c>
      <c r="B291" t="s">
        <v>630</v>
      </c>
      <c r="C291" t="s">
        <v>563</v>
      </c>
      <c r="D291" s="3" t="str">
        <f t="shared" si="6"/>
        <v>[`Explain the following in reference to relationships - Connectivity`,``,``,``,``, ``,`&lt;p class='space'&gt;Connectivity is the classification of the relationship between entities.&lt;p class='space'&gt;Classifications include 1:1, 1:M, and M:N`, `IS380-ch04`],</v>
      </c>
    </row>
    <row r="292" spans="1:4" hidden="1">
      <c r="A292" t="s">
        <v>588</v>
      </c>
      <c r="B292" t="s">
        <v>631</v>
      </c>
      <c r="C292" t="s">
        <v>563</v>
      </c>
      <c r="D292" s="3" t="str">
        <f t="shared" si="6"/>
        <v>[`Explain the following in reference to relationships - Cardinality`,``,``,``,``, ``,`&lt;p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 `IS380-ch04`],</v>
      </c>
    </row>
    <row r="293" spans="1:4" hidden="1">
      <c r="A293" t="s">
        <v>589</v>
      </c>
      <c r="B293" t="s">
        <v>632</v>
      </c>
      <c r="C293" t="s">
        <v>563</v>
      </c>
      <c r="D293" s="3" t="str">
        <f t="shared" si="6"/>
        <v>[`Explain the following relationships: - Unary`,``,``,``,``, ``,`&lt;p class='space'&gt;A unary relationship is an association within an entity.&lt;p class='space'&gt;For example, an EMPLOYEE might manage another EMPLOYEE both who would show up in an employee table.`, `IS380-ch04`],</v>
      </c>
    </row>
    <row r="294" spans="1:4" hidden="1">
      <c r="A294" s="11" t="s">
        <v>590</v>
      </c>
      <c r="B294" t="s">
        <v>633</v>
      </c>
      <c r="C294" t="s">
        <v>563</v>
      </c>
      <c r="D294" s="3" t="str">
        <f t="shared" si="6"/>
        <v>[`Explain the following relationships: - Binary`,``,``,``,``, ``,`&lt;p class='space'&gt;A binary relationship is an association (relationship) between two entities, most common type of relationship.`, `IS380-ch04`],</v>
      </c>
    </row>
    <row r="295" spans="1:4" hidden="1">
      <c r="A295" t="s">
        <v>591</v>
      </c>
      <c r="B295" t="s">
        <v>634</v>
      </c>
      <c r="C295" t="s">
        <v>563</v>
      </c>
      <c r="D295" s="3" t="str">
        <f t="shared" ref="D295:D319" si="7">"[`" &amp; A295 &amp; "`,``,``,``,``, ``,`"  &amp; B295 &amp; "`, `" &amp; C295 &amp; "`]" &amp; IF(C296&lt;&gt;"",",","")</f>
        <v>[`Explain the following relationships: - Ternary`,``,``,``,``, ``,`&lt;p class='space'&gt;A ternary relationship is an association (relationship) between three entities.`, `IS380-ch04`],</v>
      </c>
    </row>
    <row r="296" spans="1:4" hidden="1">
      <c r="A296" t="s">
        <v>593</v>
      </c>
      <c r="B296" t="s">
        <v>635</v>
      </c>
      <c r="C296" t="s">
        <v>563</v>
      </c>
      <c r="D296" s="3" t="str">
        <f t="shared" si="7"/>
        <v>[`What is normalization? Why do it?`,``,``,``,``, ``,`&lt;p class='space'&gt;Normalization is designing tables to minimize if not eliminate data redundancies.`, `IS380-ch04`],</v>
      </c>
    </row>
    <row r="297" spans="1:4" hidden="1">
      <c r="A297" t="s">
        <v>594</v>
      </c>
      <c r="B297" t="s">
        <v>636</v>
      </c>
      <c r="C297" t="s">
        <v>563</v>
      </c>
      <c r="D297" s="3" t="str">
        <f t="shared" si="7"/>
        <v>[`Are there any disadvantages to normalization?`,``,``,``,``, ``,`&lt;p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 `IS380-ch04`],</v>
      </c>
    </row>
    <row r="298" spans="1:4" hidden="1">
      <c r="A298" t="s">
        <v>595</v>
      </c>
      <c r="B298" t="s">
        <v>637</v>
      </c>
      <c r="C298" t="s">
        <v>563</v>
      </c>
      <c r="D298" s="3" t="str">
        <f t="shared" si="7"/>
        <v>[`What is denormalization? Why do it?`,``,``,``,``, ``,`&lt;p class='space'&gt;Denormalization is a process by which a table is changed from a higher-level normal form to a lower-level normal form.&lt;p class='space'&gt;It may be considered to improve the processing speed for complex or common queries.`, `IS380-ch04`],</v>
      </c>
    </row>
    <row r="299" spans="1:4" hidden="1">
      <c r="A299" t="s">
        <v>596</v>
      </c>
      <c r="B299" t="s">
        <v>638</v>
      </c>
      <c r="C299" t="s">
        <v>563</v>
      </c>
      <c r="D299" s="3" t="str">
        <f t="shared" si="7"/>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`IS380-ch04`],</v>
      </c>
    </row>
    <row r="300" spans="1:4" hidden="1">
      <c r="A300" t="s">
        <v>597</v>
      </c>
      <c r="B300" t="s">
        <v>639</v>
      </c>
      <c r="C300" t="s">
        <v>563</v>
      </c>
      <c r="D300" s="3" t="str">
        <f t="shared" si="7"/>
        <v>[`What is a surrogate key?`,``,``,``,``, ``,`&lt;p class='space'&gt;A surrogate key is a system-assigned primary key, generally numeric and auto-incremented.&lt;p class='space'&gt;The surrogate key has no meaning in the user’s environment—it exists only to distinguish one entity instance from another (just like any other primary key).`, `IS380-ch04`],</v>
      </c>
    </row>
    <row r="301" spans="1:4" hidden="1">
      <c r="A301" t="s">
        <v>598</v>
      </c>
      <c r="B301" t="s">
        <v>640</v>
      </c>
      <c r="C301" t="s">
        <v>563</v>
      </c>
      <c r="D301" s="3" t="str">
        <f t="shared" si="7"/>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attributes.&lt;p class='space'&gt;In this case since it is a part of a composite key that isn’t true.`, `IS380-ch04`],</v>
      </c>
    </row>
    <row r="302" spans="1:4" hidden="1">
      <c r="A302" t="s">
        <v>701</v>
      </c>
      <c r="B302" t="s">
        <v>710</v>
      </c>
      <c r="C302" t="s">
        <v>563</v>
      </c>
      <c r="D302" s="3" t="str">
        <f t="shared" si="7"/>
        <v>[`What is A derived attribute?`,``,``,``,``, ``,`&lt;p class='space'&gt;Derived – A derived attribute is one that is calculated from 1 or more other attributes.`, `IS380-ch04`],</v>
      </c>
    </row>
    <row r="303" spans="1:4" hidden="1">
      <c r="A303" t="s">
        <v>705</v>
      </c>
      <c r="B303" t="s">
        <v>712</v>
      </c>
      <c r="C303" s="3" t="s">
        <v>704</v>
      </c>
      <c r="D303" s="3" t="str">
        <f t="shared" si="7"/>
        <v>[` punctuated equilibrium`,``,``,``,``, ``,`&lt;p class='space'&gt;Groups establish periods of stable functioning until an event causes a dramatic change in norms, roles, and/or objectives. &lt;p class='space'&gt;The group then establishes and maintains new norms of functioning, returning to equilibrium`, `HRM360-CH08`],</v>
      </c>
    </row>
    <row r="304" spans="1:4" hidden="1">
      <c r="A304" t="s">
        <v>706</v>
      </c>
      <c r="B304" t="s">
        <v>713</v>
      </c>
      <c r="C304" s="3" t="s">
        <v>704</v>
      </c>
      <c r="D304" s="3" t="str">
        <f t="shared" si="7"/>
        <v>[`Social loafing is:`,``,``,``,``, ``,`&lt;p class='space'&gt;Social loafing is the tendency for individual effort to decline as group size increases. `, `HRM360-CH08`],</v>
      </c>
    </row>
    <row r="305" spans="1:4" hidden="1">
      <c r="A305" t="s">
        <v>707</v>
      </c>
      <c r="B305" t="s">
        <v>714</v>
      </c>
      <c r="C305" s="3" t="s">
        <v>704</v>
      </c>
      <c r="D305" s="3" t="str">
        <f t="shared" si="7"/>
        <v>[`Anything that interferes with the transmission and understanding of a message. `,``,``,``,``, ``,`&lt;p class='space'&gt;Noise is anything that interferes with the transmission and understanding of a message. `, `HRM360-CH08`],</v>
      </c>
    </row>
    <row r="306" spans="1:4" hidden="1">
      <c r="A306" t="s">
        <v>708</v>
      </c>
      <c r="B306" t="s">
        <v>715</v>
      </c>
      <c r="C306" s="3" t="s">
        <v>718</v>
      </c>
      <c r="D306" s="3" t="str">
        <f t="shared" si="7"/>
        <v>[`Crucial conversations are?`,``,``,``,``, ``,`&lt;p class='space'&gt;Crucial conversations are discussions between two or more people where &lt;p class='space'&gt;(1) the stakes are high, &lt;p class='space'&gt;(2) opinions vary, and &lt;p class='space'&gt;(3) emotions run strong.`, `HRM360-CH09`],</v>
      </c>
    </row>
    <row r="307" spans="1:4" ht="285" hidden="1">
      <c r="A307" t="s">
        <v>709</v>
      </c>
      <c r="B307" s="11" t="s">
        <v>716</v>
      </c>
      <c r="C307" s="3" t="s">
        <v>718</v>
      </c>
      <c r="D307" s="3" t="str">
        <f t="shared" si="7"/>
        <v>[`The acronym STATE means?`,``,``,``,``, ``,`&lt;p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 `HRM360-CH09`],</v>
      </c>
    </row>
    <row r="308" spans="1:4" ht="75" hidden="1">
      <c r="A308" t="s">
        <v>717</v>
      </c>
      <c r="B308" s="11" t="s">
        <v>732</v>
      </c>
      <c r="C308" s="3" t="s">
        <v>718</v>
      </c>
      <c r="D308" s="3" t="str">
        <f t="shared" si="7"/>
        <v>[`Listening is the?`,``,``,``,``, ``,`&lt;p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 `HRM360-CH09`],</v>
      </c>
    </row>
    <row r="309" spans="1:4" hidden="1">
      <c r="A309" t="s">
        <v>719</v>
      </c>
      <c r="B309" t="s">
        <v>733</v>
      </c>
      <c r="C309" s="3" t="s">
        <v>718</v>
      </c>
      <c r="D309" s="3" t="str">
        <f t="shared" si="7"/>
        <v>[`Active listening style`,``,``,``,``, ``,`&lt;p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 `HRM360-CH09`],</v>
      </c>
    </row>
    <row r="310" spans="1:4" hidden="1">
      <c r="A310" t="s">
        <v>723</v>
      </c>
      <c r="B310" t="s">
        <v>734</v>
      </c>
      <c r="C310" s="3" t="s">
        <v>718</v>
      </c>
      <c r="D310" s="3" t="str">
        <f t="shared" si="7"/>
        <v>[`occurs when people perceive they are being attacked or threatened.`,``,``,``,``, ``,`&lt;p class='space'&gt;Defensiveness occurs when people perceive they are being attacked or threatened.`, `HRM360-CH09`],</v>
      </c>
    </row>
    <row r="311" spans="1:4" hidden="1">
      <c r="A311" t="s">
        <v>720</v>
      </c>
      <c r="B311" t="s">
        <v>735</v>
      </c>
      <c r="C311" s="3" t="s">
        <v>718</v>
      </c>
      <c r="D311" s="3" t="str">
        <f t="shared" si="7"/>
        <v>[`involved listening style`,``,``,``,``, ``,`&lt;p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 `HRM360-CH09`],</v>
      </c>
    </row>
    <row r="312" spans="1:4" hidden="1">
      <c r="A312" t="s">
        <v>726</v>
      </c>
      <c r="B312" t="s">
        <v>736</v>
      </c>
      <c r="C312" s="3" t="s">
        <v>725</v>
      </c>
      <c r="D312" s="3" t="str">
        <f t="shared" si="7"/>
        <v>[`suggests that the more members of different groups interact, the less intergroup conflict they will experience. `,``,``,``,``, ``,`&lt;p class='space'&gt; contact hypothesis `, `HRM360-CH10`],</v>
      </c>
    </row>
    <row r="313" spans="1:4" hidden="1">
      <c r="A313" t="s">
        <v>721</v>
      </c>
      <c r="B313" t="s">
        <v>737</v>
      </c>
      <c r="C313" s="3" t="s">
        <v>718</v>
      </c>
      <c r="D313" s="3" t="str">
        <f t="shared" si="7"/>
        <v>[`passive listening style`,``,``,``,``, ``,`&lt;p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 `HRM360-CH09`],</v>
      </c>
    </row>
    <row r="314" spans="1:4" hidden="1">
      <c r="A314" t="s">
        <v>728</v>
      </c>
      <c r="B314" t="s">
        <v>738</v>
      </c>
      <c r="C314" s="3" t="s">
        <v>725</v>
      </c>
      <c r="D314" s="3" t="str">
        <f t="shared" si="7"/>
        <v>[`Negotiation is`,``,``,``,``, ``,`&lt;p class='space'&gt; a give-and-take decision-making process between two or more parties with different preferences. `, `HRM360-CH10`],</v>
      </c>
    </row>
    <row r="315" spans="1:4" hidden="1">
      <c r="A315" t="s">
        <v>722</v>
      </c>
      <c r="B315" t="s">
        <v>739</v>
      </c>
      <c r="C315" s="3" t="s">
        <v>718</v>
      </c>
      <c r="D315" s="3" t="str">
        <f t="shared" si="7"/>
        <v>[`detached listening style`,``,``,``,``, ``,`&lt;p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 `HRM360-CH09`],</v>
      </c>
    </row>
    <row r="316" spans="1:4" hidden="1">
      <c r="A316" t="s">
        <v>724</v>
      </c>
      <c r="B316" t="s">
        <v>740</v>
      </c>
      <c r="C316" s="3" t="s">
        <v>725</v>
      </c>
      <c r="D316" s="3" t="str">
        <f t="shared" si="7"/>
        <v>[`personality conflict`,``,``,``,``, ``,`&lt;p class='space'&gt; personality conflict is interpersonal opposition based on personal dislike or disagreement.`, `HRM360-CH10`],</v>
      </c>
    </row>
    <row r="317" spans="1:4" hidden="1">
      <c r="A317" t="s">
        <v>727</v>
      </c>
      <c r="B317" t="s">
        <v>741</v>
      </c>
      <c r="C317" s="3" t="s">
        <v>725</v>
      </c>
      <c r="D317" s="3" t="str">
        <f t="shared" si="7"/>
        <v>[`assigns someone the role of critic. `,``,``,``,``, ``,`&lt;p class='space'&gt;devil’s advocacy assigns someone the role of critic. `, `HRM360-CH10`],</v>
      </c>
    </row>
    <row r="318" spans="1:4" hidden="1">
      <c r="A318" t="s">
        <v>729</v>
      </c>
      <c r="B318" t="s">
        <v>742</v>
      </c>
      <c r="C318" s="3" t="s">
        <v>725</v>
      </c>
      <c r="D318" s="3" t="str">
        <f t="shared" si="7"/>
        <v>[`usually concerns a single issue—a “fixed pie”—in which one person gains at the expense of another`,``,``,``,``, ``,`&lt;p class='space'&gt; distributive negotiation `, `HRM360-CH10`],</v>
      </c>
    </row>
    <row r="319" spans="1:4" hidden="1">
      <c r="A319" t="s">
        <v>730</v>
      </c>
      <c r="B319" t="s">
        <v>743</v>
      </c>
      <c r="C319" s="3" t="s">
        <v>725</v>
      </c>
      <c r="D319" s="3" t="str">
        <f t="shared" si="7"/>
        <v>[`Conflict occurs:`,``,``,``,``, ``,`&lt;p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 `HRM360-CH10`],</v>
      </c>
    </row>
    <row r="320" spans="1:4" ht="195" hidden="1">
      <c r="A320" t="s">
        <v>731</v>
      </c>
      <c r="B320" s="11" t="s">
        <v>744</v>
      </c>
      <c r="C320" s="3" t="s">
        <v>725</v>
      </c>
      <c r="D320" s="3" t="e">
        <f>"[`" &amp; A320 &amp; "`,``,``,``,``, ``,`"  &amp; B320 &amp; "`, `" &amp; C320 &amp; "`]" &amp; IF(#REF!&lt;&gt;"",",","")</f>
        <v>#REF!</v>
      </c>
    </row>
    <row r="321" spans="1:4" hidden="1">
      <c r="A321" t="s">
        <v>578</v>
      </c>
      <c r="B321" t="s">
        <v>804</v>
      </c>
      <c r="C321" t="s">
        <v>563</v>
      </c>
      <c r="D321" s="3" t="str">
        <f>"[`" &amp; A321 &amp; "`,``,``,``,``, ``,`"  &amp; B321 &amp; "`, `" &amp; C321 &amp; "`]" &amp; IF(C322&lt;&gt;"",",","")</f>
        <v>[`What are the advantages/disadvantages of storing derived values?`,``,``,``,``, ``,`&lt;p class='space'&gt;Ensures historical data is maintained,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 `IS380-ch04`],</v>
      </c>
    </row>
    <row r="322" spans="1:4" hidden="1">
      <c r="A322" t="s">
        <v>836</v>
      </c>
      <c r="B322" t="s">
        <v>837</v>
      </c>
      <c r="C322" t="s">
        <v>563</v>
      </c>
      <c r="D322" s="3" t="str">
        <f>"[`" &amp; A322 &amp; "`,``,``,``,``, ``,`"  &amp; B322 &amp; "`, `" &amp; C322 &amp; "`]" &amp; IF(C323&lt;&gt;"",",","")</f>
        <v>[`The term optionality is used to:`,``,``,``,``, ``,`\nThe term optionality is used to label any condition in which one or more optional relationships exist.\nMandatory participation means that one entity occurrence requires a corresponding entity occurrence in a particular relationship.\nIf no optionality symbol is depicted with the entity, the entity is assumed to exist in a mandatory relationship with the related entity. If the mandatory participation is depicted graphically, it is typically shown as a small hash mark across the relationship line, similar to the Crow’s Foot depiction of a connectivity of 1.\nThe existence of a mandatory relationship indicates that the minimum cardinality is at least 1 for the mandatory entity.`, `IS380-ch04`],</v>
      </c>
    </row>
    <row r="323" spans="1:4" ht="15.75" hidden="1">
      <c r="A323" t="s">
        <v>800</v>
      </c>
      <c r="B323" s="10" t="s">
        <v>830</v>
      </c>
      <c r="C323" s="3" t="s">
        <v>563</v>
      </c>
      <c r="D323" s="3" t="str">
        <f>"[`" &amp; A323 &amp; "`,``,``,``,``, ``,`"  &amp; B323 &amp; "`, `" &amp; C323 &amp; "`]" &amp; IF(C324&lt;&gt;"",",","")</f>
        <v>[`What is first step in database design?`,``,``,``,``, ``,`&lt;p class='space'&gt;Data modeling is the first step in the database design journey`, `IS380-ch04`]</v>
      </c>
    </row>
    <row r="324" spans="1:4" hidden="1">
      <c r="A324" t="s">
        <v>754</v>
      </c>
      <c r="B324" t="s">
        <v>813</v>
      </c>
    </row>
    <row r="325" spans="1:4" ht="105" hidden="1">
      <c r="A325" t="s">
        <v>775</v>
      </c>
      <c r="B325" s="11" t="s">
        <v>814</v>
      </c>
    </row>
    <row r="326" spans="1:4" hidden="1">
      <c r="A326" t="s">
        <v>776</v>
      </c>
      <c r="B326" t="s">
        <v>815</v>
      </c>
    </row>
    <row r="327" spans="1:4" hidden="1">
      <c r="A327" t="s">
        <v>777</v>
      </c>
      <c r="B327" t="s">
        <v>816</v>
      </c>
    </row>
    <row r="328" spans="1:4" hidden="1">
      <c r="A328" t="s">
        <v>778</v>
      </c>
      <c r="B328" t="s">
        <v>817</v>
      </c>
    </row>
    <row r="329" spans="1:4" hidden="1">
      <c r="A329" t="s">
        <v>779</v>
      </c>
      <c r="B329" t="s">
        <v>818</v>
      </c>
    </row>
    <row r="330" spans="1:4" ht="90" hidden="1">
      <c r="A330" t="s">
        <v>780</v>
      </c>
      <c r="B330" s="11" t="s">
        <v>819</v>
      </c>
    </row>
    <row r="331" spans="1:4" hidden="1">
      <c r="A331" t="s">
        <v>781</v>
      </c>
      <c r="B331" t="s">
        <v>820</v>
      </c>
    </row>
    <row r="332" spans="1:4" hidden="1">
      <c r="A332" t="s">
        <v>774</v>
      </c>
    </row>
    <row r="333" spans="1:4" hidden="1">
      <c r="A333" t="s">
        <v>774</v>
      </c>
    </row>
    <row r="334" spans="1:4" hidden="1">
      <c r="A334" t="s">
        <v>801</v>
      </c>
      <c r="B334" t="s">
        <v>831</v>
      </c>
      <c r="C334" s="3" t="s">
        <v>563</v>
      </c>
      <c r="D334" s="3" t="str">
        <f t="shared" ref="D334:D365" si="8">"[`" &amp; A334 &amp; "`,``,``,``,``, ``,`"  &amp; B334 &amp; "`, `" &amp; C334 &amp; "`]" &amp; IF(C335&lt;&gt;"",",","")</f>
        <v>[`Conceptual vs relational models`,``,``,``,``, ``,`&lt;p class='space'&gt;Conceptual models are used in the conceptual design of databases, while&lt;p class='space'&gt;relational models are used in the logical design of databases.`, `IS380-ch04`],</v>
      </c>
    </row>
    <row r="335" spans="1:4" hidden="1">
      <c r="A335" t="s">
        <v>802</v>
      </c>
      <c r="B335" t="s">
        <v>832</v>
      </c>
      <c r="C335" s="3" t="s">
        <v>563</v>
      </c>
      <c r="D335" s="3" t="str">
        <f t="shared" si="8"/>
        <v>[`Entity vs entity instance`,``,``,``,``, ``,`&lt;p class='space'&gt;an entity in the ERM corresponds to a table, not to a row, in the relational environment. &lt;p class='space'&gt;The ERM refers to a table row as an entity instance or entity occurrence.`, `IS380-ch04`],</v>
      </c>
    </row>
    <row r="336" spans="1:4" ht="45" hidden="1">
      <c r="A336" t="s">
        <v>803</v>
      </c>
      <c r="B336" s="11" t="s">
        <v>833</v>
      </c>
      <c r="C336" t="s">
        <v>563</v>
      </c>
      <c r="D336" s="3" t="str">
        <f t="shared" si="8"/>
        <v>[`What is a schema:`,``,``,``,``, ``,`&lt;p class='space'&gt;A logical grouping of database objects, such as tables, indexes, views, and queries, that are related to each other. Usually, a schema belongs to a single user or application.  `, `IS380-ch04`],</v>
      </c>
    </row>
    <row r="337" spans="1:4" hidden="1">
      <c r="A337" t="s">
        <v>853</v>
      </c>
      <c r="B337" t="s">
        <v>855</v>
      </c>
      <c r="C337" t="s">
        <v>563</v>
      </c>
      <c r="D337" s="3" t="str">
        <f t="shared" si="8"/>
        <v>[`Purpose of ERD\Process followed`,``,``,``,``, ``,`&lt;p class='space'&gt;the ERD is used for communication between designers and end users.&lt;p class='space'&gt;The process of database design is iterative rather than a linear or sequential process&lt;p class='space'&gt;`, `IS380-ch04`],</v>
      </c>
    </row>
    <row r="338" spans="1:4" hidden="1">
      <c r="A338" t="s">
        <v>854</v>
      </c>
      <c r="B338" t="s">
        <v>856</v>
      </c>
      <c r="C338" t="s">
        <v>563</v>
      </c>
      <c r="D338" s="3" t="str">
        <f t="shared" si="8"/>
        <v>[`What is UML:`,``,``,``,``, ``,`&lt;p class='space'&gt;Unified Modeling Language (UML) is a general-purpose, developmental, modeling language in the field of software engineering that is intended to provide a standard way to visualize the design of a system.`, `IS380-ch04`],</v>
      </c>
    </row>
    <row r="339" spans="1:4" ht="45" hidden="1">
      <c r="A339" s="11" t="s">
        <v>599</v>
      </c>
      <c r="B339" s="11" t="s">
        <v>600</v>
      </c>
      <c r="C339" s="3" t="s">
        <v>542</v>
      </c>
      <c r="D339" s="3" t="str">
        <f t="shared" si="8"/>
        <v>[`What is an atomic attribute? `,``,``,``,``, ``,`&lt;p class='space'&gt;An attribute that cannot be further subdivided to produce meaningful components. &lt;p class='space'&gt;For example, a person’s last name attribute cannot be meaningfully subdivided. `, `IS380-ch06`],</v>
      </c>
    </row>
    <row r="340" spans="1:4" hidden="1">
      <c r="A340" t="s">
        <v>543</v>
      </c>
      <c r="B340" t="s">
        <v>601</v>
      </c>
      <c r="C340" s="3" t="s">
        <v>542</v>
      </c>
      <c r="D340" s="3" t="str">
        <f t="shared" si="8"/>
        <v>[`denormalization `,``,``,``,``, ``,`&lt;p class='space'&gt;A process by which a table is changed from a higher-level normal form to a lower-level normal form, usually to increase processing speed.&lt;p class='space'&gt;Denormalization potentially yields data anomalies.`, `IS380-ch06`],</v>
      </c>
    </row>
    <row r="341" spans="1:4" ht="30" hidden="1">
      <c r="A341" t="s">
        <v>544</v>
      </c>
      <c r="B341" s="11" t="s">
        <v>602</v>
      </c>
      <c r="C341" s="3" t="s">
        <v>542</v>
      </c>
      <c r="D341" s="3" t="str">
        <f t="shared" si="8"/>
        <v>[`determinant`,``,``,``,``, ``,`&lt;p class='space'&gt;Any attribute in a specific row whose value directly determines other values in that row.`, `IS380-ch06`],</v>
      </c>
    </row>
    <row r="342" spans="1:4" ht="60" hidden="1">
      <c r="A342" t="s">
        <v>545</v>
      </c>
      <c r="B342" s="11" t="s">
        <v>603</v>
      </c>
      <c r="C342" s="3" t="s">
        <v>542</v>
      </c>
      <c r="D342" s="3" t="str">
        <f t="shared" si="8"/>
        <v>[`first normal form (1NF) `,``,``,``,``, ``,`&lt;p class='space'&gt;The first stage in the normalization process.&lt;p class='space'&gt;It describes a relation depicted in tabular format, with no repeating groups and a primary key identified.&lt;p class='space'&gt;All nonkey attributes in the relation are dependent on the primary key. `, `IS380-ch06`],</v>
      </c>
    </row>
    <row r="343" spans="1:4" ht="45" hidden="1">
      <c r="A343" t="s">
        <v>546</v>
      </c>
      <c r="B343" s="11" t="s">
        <v>604</v>
      </c>
      <c r="C343" s="3" t="s">
        <v>542</v>
      </c>
      <c r="D343" s="3" t="str">
        <f t="shared" si="8"/>
        <v>[`second normal form (2NF) `,``,``,``,``, ``,`&lt;p class='space'&gt;The second stage in the normalization process, in which a relation is in 1NF and there are no partial dependencies (dependencies in only part of the primary key).  `, `IS380-ch06`],</v>
      </c>
    </row>
    <row r="344" spans="1:4" ht="45" hidden="1">
      <c r="A344" t="s">
        <v>547</v>
      </c>
      <c r="B344" s="11" t="s">
        <v>605</v>
      </c>
      <c r="C344" s="3" t="s">
        <v>542</v>
      </c>
      <c r="D344" s="3" t="str">
        <f t="shared" si="8"/>
        <v>[`third normal form (3NF) `,``,``,``,``, ``,`&lt;p class='space'&gt;A table is in 3NF when it is in 2NF and no nonkey attribute is functionally dependent on another nonkey attribute; that is, it cannot include transitive dependencies. contain  `, `IS380-ch06`],</v>
      </c>
    </row>
    <row r="345" spans="1:4" hidden="1">
      <c r="A345" t="s">
        <v>548</v>
      </c>
      <c r="B345" t="s">
        <v>641</v>
      </c>
      <c r="C345" s="3" t="s">
        <v>542</v>
      </c>
      <c r="D345" s="3" t="str">
        <f t="shared" si="8"/>
        <v>[`transitive dependency `,``,``,``,``, ``,`&lt;p class='space'&gt;A condition in which an attribute is dependent on another attribute that is not part of the primary key. `, `IS380-ch06`],</v>
      </c>
    </row>
    <row r="346" spans="1:4" hidden="1">
      <c r="A346" t="s">
        <v>549</v>
      </c>
      <c r="B346" t="s">
        <v>642</v>
      </c>
      <c r="C346" s="3" t="s">
        <v>542</v>
      </c>
      <c r="D346" s="3" t="str">
        <f t="shared" si="8"/>
        <v>[`prime attribute `,``,``,``,``, ``,`&lt;p class='space'&gt;A key attribute; that is, an attribute that is part of a key or is the whole key. See also key attributes. `, `IS380-ch06`],</v>
      </c>
    </row>
    <row r="347" spans="1:4" hidden="1">
      <c r="A347" t="s">
        <v>550</v>
      </c>
      <c r="B347" t="s">
        <v>643</v>
      </c>
      <c r="C347" s="3" t="s">
        <v>542</v>
      </c>
      <c r="D347" s="3" t="str">
        <f t="shared" si="8"/>
        <v>[`partial dependency `,``,``,``,``, ``,`&lt;p class='space'&gt;A condition in which an attribute is dependent on only a portion (subset) of the primary key. `, `IS380-ch06`],</v>
      </c>
    </row>
    <row r="348" spans="1:4" hidden="1">
      <c r="A348" t="s">
        <v>551</v>
      </c>
      <c r="B348" t="s">
        <v>606</v>
      </c>
      <c r="C348" s="3" t="s">
        <v>542</v>
      </c>
      <c r="D348" s="3" t="str">
        <f t="shared" si="8"/>
        <v>[`granularity`,``,``,``,``, ``,`&lt;p class='space'&gt;The level of detail represented by the values stored in a table’s row.&lt;p class='space'&gt;Data stored at its lowest level of granularity is said to be atomic data.`, `IS380-ch06`],</v>
      </c>
    </row>
    <row r="349" spans="1:4" hidden="1">
      <c r="A349" t="s">
        <v>552</v>
      </c>
      <c r="B349" t="s">
        <v>644</v>
      </c>
      <c r="C349" s="3" t="s">
        <v>542</v>
      </c>
      <c r="D349" s="3" t="str">
        <f t="shared" si="8"/>
        <v>[`key attribute `,``,``,``,``, ``,`&lt;p class='space'&gt;The attributes that form a primary key. See also prime attribute.`, `IS380-ch06`],</v>
      </c>
    </row>
    <row r="350" spans="1:4" ht="30" hidden="1">
      <c r="A350" t="s">
        <v>553</v>
      </c>
      <c r="B350" s="11" t="s">
        <v>607</v>
      </c>
      <c r="C350" s="3" t="s">
        <v>542</v>
      </c>
      <c r="D350" s="3" t="str">
        <f t="shared" si="8"/>
        <v>[`nonkey attribute`,``,``,``,``, ``,`&lt;p class='space'&gt;also called a nonprime attribute&lt;p class='space'&gt;An attribute that is not part of a key. `, `IS380-ch06`],</v>
      </c>
    </row>
    <row r="351" spans="1:4" hidden="1">
      <c r="A351" t="s">
        <v>554</v>
      </c>
      <c r="B351" t="s">
        <v>764</v>
      </c>
      <c r="C351" s="3" t="s">
        <v>542</v>
      </c>
      <c r="D351" s="3" t="str">
        <f t="shared" si="8"/>
        <v>[`normalization`,``,``,``,``, ``,`&lt;p class='space'&gt;A process that assigns attributes to entities so that data redundancies are reduced or eliminated. `, `IS380-ch06`],</v>
      </c>
    </row>
    <row r="352" spans="1:4" hidden="1">
      <c r="A352" t="s">
        <v>555</v>
      </c>
      <c r="B352" t="s">
        <v>645</v>
      </c>
      <c r="C352" s="3" t="s">
        <v>542</v>
      </c>
      <c r="D352" s="3" t="str">
        <f t="shared" si="8"/>
        <v>[`dependency diagram`,``,``,``,``, ``,`&lt;p class='space'&gt;A representation of all data dependencies (primary key, partial, or transitive) within a table.`, `IS380-ch06`],</v>
      </c>
    </row>
    <row r="353" spans="1:4" hidden="1">
      <c r="A353" t="s">
        <v>556</v>
      </c>
      <c r="B353" s="11" t="s">
        <v>608</v>
      </c>
      <c r="C353" s="3" t="s">
        <v>542</v>
      </c>
      <c r="D353" s="3" t="str">
        <f t="shared" si="8"/>
        <v>[`atomicity`,``,``,``,``, ``,`&lt;p class='space'&gt;Not being able to be divided into smaller units.  `, `IS380-ch06`],</v>
      </c>
    </row>
    <row r="354" spans="1:4" hidden="1">
      <c r="A354" t="s">
        <v>557</v>
      </c>
      <c r="B354" t="s">
        <v>609</v>
      </c>
      <c r="C354" s="3" t="s">
        <v>542</v>
      </c>
      <c r="D354" s="3" t="str">
        <f t="shared" si="8"/>
        <v>[`unnormalized data `,``,``,``,``, ``,`&lt;p class='space'&gt;Raw data in its original state; it might contain redundant data, mul-tivalued data, and/or other data anomalies not found on normalized data relations.`, `IS380-ch06`],</v>
      </c>
    </row>
    <row r="355" spans="1:4" hidden="1">
      <c r="A355" t="s">
        <v>697</v>
      </c>
      <c r="B355" t="s">
        <v>808</v>
      </c>
      <c r="C355" s="3" t="s">
        <v>542</v>
      </c>
      <c r="D355" s="3" t="str">
        <f t="shared" si="8"/>
        <v>[`What is a simple attribute?`,``,``,``,``, ``,`&lt;p class='space'&gt;A simple attribute is an attribute that cannot be subdivided&lt;p class='space'&gt;For example, age, sex, and marital status would be classified as simple attributes.`, `IS380-ch06`],</v>
      </c>
    </row>
    <row r="356" spans="1:4" hidden="1">
      <c r="A356" t="s">
        <v>698</v>
      </c>
      <c r="B356" t="s">
        <v>809</v>
      </c>
      <c r="C356" s="3" t="s">
        <v>542</v>
      </c>
      <c r="D356" s="3" t="str">
        <f t="shared" si="8"/>
        <v>[`What is a Composite attribute?`,``,``,``,``, ``,`&lt;p class='space'&gt;Composite - An attribute that can be further subdivided to yield additional attributes.&lt;p class='space'&gt;For example, the attribute ADDRESS can be subdivided into street, city, state, and zip code.`, `IS380-ch06`],</v>
      </c>
    </row>
    <row r="357" spans="1:4" hidden="1">
      <c r="A357" t="s">
        <v>700</v>
      </c>
      <c r="B357" t="s">
        <v>810</v>
      </c>
      <c r="C357" s="3" t="s">
        <v>542</v>
      </c>
      <c r="D357" s="3" t="str">
        <f t="shared" si="8"/>
        <v>[`What is a Single-value attribute? `,``,``,``,``, ``,`&lt;p class='space'&gt;Single-value - A single-valued attribute is an attribute that can have only a single value&lt;p class='space'&gt;Keep in mind that a single-valued attribute is not necessarily a simple attribute. For instance, a part’s serial number (such as SE-08-02-189935) is single-valued, but it is a composite attribute because it can be sub-divided into the region in which the part was produced (SE), the plant within that region (08), the shift within the plant (02), and the part number (189935).`, `IS380-ch06`],</v>
      </c>
    </row>
    <row r="358" spans="1:4" hidden="1">
      <c r="A358" t="s">
        <v>699</v>
      </c>
      <c r="B358" t="s">
        <v>811</v>
      </c>
      <c r="C358" s="3" t="s">
        <v>542</v>
      </c>
      <c r="D358" s="3" t="str">
        <f t="shared" si="8"/>
        <v>[`What is a Multi-valued  attribute?`,``,``,``,``, ``,`&lt;p class='space'&gt;Multi-valued - An attribute that can have many values for a single entity occurrence. &lt;p class='space'&gt;For example, an EMP_ DEGREE attribute might store the string “BBA, MBA, PHD” to indicate three degrees.&lt;p class='space'&gt;Although the conceptual model can handle MANY TO MANY relationships and multivalued attributes, you should not implement them in the RDBMS.`, `IS380-ch06`],</v>
      </c>
    </row>
    <row r="359" spans="1:4" hidden="1">
      <c r="A359" t="s">
        <v>702</v>
      </c>
      <c r="B359" t="s">
        <v>711</v>
      </c>
      <c r="C359" s="3" t="s">
        <v>542</v>
      </c>
      <c r="D359" s="3" t="str">
        <f t="shared" si="8"/>
        <v>[`How should relational databases implement a Many to Many relationship?`,``,``,``,``, ``,`&lt;p class='space'&gt;Create a new entity by using a bridging table.`, `IS380-ch06`],</v>
      </c>
    </row>
    <row r="360" spans="1:4" hidden="1">
      <c r="A360" t="s">
        <v>703</v>
      </c>
      <c r="B360" t="s">
        <v>812</v>
      </c>
      <c r="C360" s="3" t="s">
        <v>542</v>
      </c>
      <c r="D360" s="3" t="str">
        <f t="shared" si="8"/>
        <v>[`How should relational databases implement a Multi-valued attribute?`,``,``,``,``, ``,`&lt;p class='space'&gt;(1)create multiple attributes to cover all possibilities&lt;p class='space'&gt;(2)Create a new entity composed of the original multivalued attribute’s components. This new entity allows the designer to define color for different sections of the car (see Table 4.1). Then, this new CAR_COLOR entity is related to the original CAR entity in a 1 to many relationship.`, `IS380-ch06`],</v>
      </c>
    </row>
    <row r="361" spans="1:4" hidden="1">
      <c r="A361" t="s">
        <v>596</v>
      </c>
      <c r="B361" t="s">
        <v>638</v>
      </c>
      <c r="C361" s="3" t="s">
        <v>542</v>
      </c>
      <c r="D361" s="3" t="str">
        <f t="shared" si="8"/>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`IS380-ch06`],</v>
      </c>
    </row>
    <row r="362" spans="1:4" hidden="1">
      <c r="A362" t="s">
        <v>592</v>
      </c>
      <c r="B362" t="s">
        <v>839</v>
      </c>
      <c r="C362" s="3" t="s">
        <v>542</v>
      </c>
      <c r="D362" s="3" t="str">
        <f t="shared" si="8"/>
        <v>[`What three data anomalies are likely to be the result of data redundancy? How can such anomalies be eliminated?`,``,``,``,``, ``,`&lt;p class='space'&gt;(1) Update anomalies,\n(2) Insertion anomalies\n(3) Deletion anomalies.&lt;p class='space'&gt;They can be eliminated by adequately normalizing the database.`, `IS380-ch06`],</v>
      </c>
    </row>
    <row r="363" spans="1:4" hidden="1">
      <c r="A363" t="s">
        <v>598</v>
      </c>
      <c r="B363" t="s">
        <v>755</v>
      </c>
      <c r="C363" s="3" t="s">
        <v>542</v>
      </c>
      <c r="D363" s="3" t="str">
        <f t="shared" si="8"/>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 In this case since it is a part of a composite key that isn’t true.`, `IS380-ch06`],</v>
      </c>
    </row>
    <row r="364" spans="1:4" hidden="1">
      <c r="A364" t="s">
        <v>586</v>
      </c>
      <c r="B364" t="s">
        <v>756</v>
      </c>
      <c r="C364" s="3" t="s">
        <v>542</v>
      </c>
      <c r="D364" s="3" t="str">
        <f t="shared" si="8"/>
        <v>[`What is the difference between a composite key and a composite entity?`,``,``,``,``, ``,`&lt;p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 `IS380-ch06`],</v>
      </c>
    </row>
    <row r="365" spans="1:4" hidden="1">
      <c r="A365" t="s">
        <v>745</v>
      </c>
      <c r="B365" t="s">
        <v>757</v>
      </c>
      <c r="C365" s="3" t="s">
        <v>542</v>
      </c>
      <c r="D365" s="3" t="str">
        <f t="shared" si="8"/>
        <v>[`Connectivity is:`,``,``,``,``, ``,`&lt;p class='space'&gt;Connectivity is the classification of the relationship between entities. &lt;p class='space'&gt;Classifications include 1:1, 1:M, and M:N.`, `IS380-ch06`],</v>
      </c>
    </row>
    <row r="366" spans="1:4" hidden="1">
      <c r="A366" t="s">
        <v>746</v>
      </c>
      <c r="B366" t="s">
        <v>878</v>
      </c>
      <c r="C366" s="3" t="s">
        <v>542</v>
      </c>
      <c r="D366" s="3" t="str">
        <f t="shared" ref="D366:D391" si="9">"[`" &amp; A366 &amp; "`,``,``,``,``, ``,`"  &amp; B366 &amp; "`, `" &amp; C366 &amp; "`]" &amp; IF(C367&lt;&gt;"",",","")</f>
        <v>[`Cardinality is:`,``,``,``,``, ``,`&lt;p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courses.&lt;p class='space'&gt;Crow’s Foot modeling notation do not depict the specific cardinalities on the ER diagram itself because the specific limits described by the cardinalities cannot be implemented directly through the database design.`, `IS380-ch06`],</v>
      </c>
    </row>
    <row r="367" spans="1:4" hidden="1">
      <c r="A367" t="s">
        <v>847</v>
      </c>
      <c r="B367" t="s">
        <v>748</v>
      </c>
      <c r="C367" s="3" t="s">
        <v>542</v>
      </c>
      <c r="D367" s="3" t="str">
        <f t="shared" si="9"/>
        <v>[`Explain the following relationship degree: Binary`,``,``,``,``, ``,`A binary relationship is an association (relationship) between two entities, most common type of relationship.`, `IS380-ch06`],</v>
      </c>
    </row>
    <row r="368" spans="1:4" hidden="1">
      <c r="A368" t="s">
        <v>848</v>
      </c>
      <c r="B368" t="s">
        <v>749</v>
      </c>
      <c r="C368" s="3" t="s">
        <v>542</v>
      </c>
      <c r="D368" s="3" t="str">
        <f t="shared" si="9"/>
        <v>[`Explain the following relationship degree:  Unary`,``,``,``,``, ``,`A unary relationship is an association within an entity. For example, an EMPLOYEE might manage another EMPLOYEE both who would show up in an employee table.`, `IS380-ch06`],</v>
      </c>
    </row>
    <row r="369" spans="1:4" hidden="1">
      <c r="A369" t="s">
        <v>849</v>
      </c>
      <c r="B369" t="s">
        <v>747</v>
      </c>
      <c r="C369" s="3" t="s">
        <v>542</v>
      </c>
      <c r="D369" s="3" t="str">
        <f t="shared" si="9"/>
        <v>[`Explain the following relationship degree:  Ternary`,``,``,``,``, ``,`A ternary relationship is an association (relationship) between three entities.`, `IS380-ch06`],</v>
      </c>
    </row>
    <row r="370" spans="1:4" ht="30" hidden="1">
      <c r="A370" t="s">
        <v>593</v>
      </c>
      <c r="B370" s="11" t="s">
        <v>635</v>
      </c>
      <c r="C370" s="3" t="s">
        <v>542</v>
      </c>
      <c r="D370" s="3" t="str">
        <f t="shared" si="9"/>
        <v>[`What is normalization? Why do it?`,``,``,``,``, ``,`&lt;p class='space'&gt;Normalization is designing tables to minimize if not eliminate data redundancies.`, `IS380-ch06`],</v>
      </c>
    </row>
    <row r="371" spans="1:4" ht="75" hidden="1">
      <c r="A371" t="s">
        <v>594</v>
      </c>
      <c r="B371" s="11" t="s">
        <v>758</v>
      </c>
      <c r="C371" s="3" t="s">
        <v>542</v>
      </c>
      <c r="D371" s="3" t="str">
        <f t="shared" si="9"/>
        <v>[`Are there any disadvantages to normalization?`,``,``,``,``, ``,`&lt;p class='space'&gt;The more normalized the data the more likelihood the complex relational join will be required. &lt;p class='space'&gt;For a large database this will likely be cpu intensive and take some time. This could be reduced if some data isn’t at the highest level of normalization.`, `IS380-ch06`],</v>
      </c>
    </row>
    <row r="372" spans="1:4" hidden="1">
      <c r="A372" t="s">
        <v>595</v>
      </c>
      <c r="B372" t="s">
        <v>759</v>
      </c>
      <c r="C372" s="3" t="s">
        <v>542</v>
      </c>
      <c r="D372" s="3" t="str">
        <f t="shared" si="9"/>
        <v>[`What is denormalization? Why do it?`,``,``,``,``, ``,`&lt;p class='space'&gt;Denormalization is a process by which a table is changed from a higher-level normal form to a lower-level normal form. It may be considered to improve the processing speed for complex or common queries.`, `IS380-ch06`],</v>
      </c>
    </row>
    <row r="373" spans="1:4" hidden="1">
      <c r="A373" t="s">
        <v>750</v>
      </c>
      <c r="B373" t="s">
        <v>760</v>
      </c>
      <c r="C373" s="3" t="s">
        <v>542</v>
      </c>
      <c r="D373" s="3" t="str">
        <f t="shared" si="9"/>
        <v>[`What is 1NF?`,``,``,``,``, ``,`&lt;p class='space'&gt;1NF, means first normal from. This means the data is in table format, and there are no repeating groups, and the primary keys has been identified`, `IS380-ch06`],</v>
      </c>
    </row>
    <row r="374" spans="1:4" hidden="1">
      <c r="A374" t="s">
        <v>751</v>
      </c>
      <c r="B374" t="s">
        <v>761</v>
      </c>
      <c r="C374" s="3" t="s">
        <v>542</v>
      </c>
      <c r="D374" s="3" t="str">
        <f t="shared" si="9"/>
        <v>[`What is 2NF?`,``,``,``,``, ``,`&lt;p class='space'&gt;Second normal form (2NF), which means the data is 1NF and there are no partial dependencies`, `IS380-ch06`],</v>
      </c>
    </row>
    <row r="375" spans="1:4" hidden="1">
      <c r="A375" t="s">
        <v>752</v>
      </c>
      <c r="B375" t="s">
        <v>762</v>
      </c>
      <c r="C375" s="3" t="s">
        <v>542</v>
      </c>
      <c r="D375" s="3" t="str">
        <f t="shared" si="9"/>
        <v>[`What is 3NF?`,``,``,``,``, ``,`&lt;p class='space'&gt;Third normal form (3NF), which means 2NF and no transitive dependencies`, `IS380-ch06`],</v>
      </c>
    </row>
    <row r="376" spans="1:4" hidden="1">
      <c r="A376" t="s">
        <v>753</v>
      </c>
      <c r="B376" t="s">
        <v>763</v>
      </c>
      <c r="C376" s="3" t="s">
        <v>542</v>
      </c>
      <c r="D376" s="3" t="str">
        <f t="shared" si="9"/>
        <v>[`What is a partial dependency?`,``,``,``,``, ``,`&lt;p class='space'&gt;A partial dependency is a condition in which an attribute is dependent on only a portion (subset) of the primary key.`, `IS380-ch06`],</v>
      </c>
    </row>
    <row r="377" spans="1:4" hidden="1">
      <c r="A377" s="3" t="s">
        <v>655</v>
      </c>
      <c r="B377" s="3" t="s">
        <v>676</v>
      </c>
      <c r="C377" s="3" t="s">
        <v>654</v>
      </c>
      <c r="D377" s="3" t="str">
        <f t="shared" si="9"/>
        <v>[`DML`,``,``,``,``, ``,`&lt;p class='space'&gt;data manipulation language (DML).&lt;p class='space'&gt;SQL is a DML- it includes commands to insert, update, delete data within the database tables. `, `IS380-CH7`],</v>
      </c>
    </row>
    <row r="378" spans="1:4" hidden="1">
      <c r="A378" s="3" t="s">
        <v>656</v>
      </c>
      <c r="B378" s="3" t="s">
        <v>677</v>
      </c>
      <c r="C378" s="3" t="s">
        <v>654</v>
      </c>
      <c r="D378" s="3" t="str">
        <f t="shared" si="9"/>
        <v>[`DDL`,``,``,``,``, ``,`&lt;p class='space'&gt;Data definition language (DDL). &lt;p class='space'&gt;SQL includes commands to create database objects (CREATE, ALTER, DROP, RENAME, TRUNCATE) such as tables, indexes, and views, as well as commands to define access rights to those database objects.`, `IS380-CH7`],</v>
      </c>
    </row>
    <row r="379" spans="1:4" hidden="1">
      <c r="A379" s="3" t="s">
        <v>657</v>
      </c>
      <c r="B379" s="3" t="s">
        <v>678</v>
      </c>
      <c r="C379" s="3" t="s">
        <v>874</v>
      </c>
      <c r="D379" s="3" t="str">
        <f t="shared" si="9"/>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`IS380-CH07`],</v>
      </c>
    </row>
    <row r="380" spans="1:4" ht="30" hidden="1">
      <c r="A380" s="3" t="s">
        <v>658</v>
      </c>
      <c r="B380" s="5" t="s">
        <v>679</v>
      </c>
      <c r="C380" s="3" t="s">
        <v>654</v>
      </c>
      <c r="D380" s="3" t="str">
        <f t="shared" si="9"/>
        <v>[`TCL`,``,``,``,``, ``,`&lt;p class='space'&gt;Transaction Control Language (TCL) - COMMIT, ROLLBACK, SAVEPOINT `, `IS380-CH7`],</v>
      </c>
    </row>
    <row r="381" spans="1:4" ht="30" hidden="1">
      <c r="A381" s="3" t="s">
        <v>659</v>
      </c>
      <c r="B381" s="5" t="s">
        <v>680</v>
      </c>
      <c r="C381" s="3" t="s">
        <v>654</v>
      </c>
      <c r="D381" s="3" t="str">
        <f t="shared" si="9"/>
        <v>[`DCL`,``,``,``,``, ``,`&lt;p class='space'&gt;Data Control Language (DCL) - GRANT, REVOKE -&lt;p class='space'&gt;used to control access to database objects. `, `IS380-CH7`],</v>
      </c>
    </row>
    <row r="382" spans="1:4" hidden="1">
      <c r="A382" s="3" t="s">
        <v>660</v>
      </c>
      <c r="B382" s="3" t="s">
        <v>681</v>
      </c>
      <c r="C382" s="3" t="s">
        <v>654</v>
      </c>
      <c r="D382" s="3" t="str">
        <f t="shared" si="9"/>
        <v>[`SQL`,``,``,``,``, ``,`&lt;p class='space'&gt;Structured Query Language&lt;p class='space'&gt;Its basic command set has a vocabulary of fewer than 100 words.&lt;p class='space'&gt;ANSI SQL standard`, `IS380-CH7`],</v>
      </c>
    </row>
    <row r="383" spans="1:4" hidden="1">
      <c r="A383" s="3" t="s">
        <v>661</v>
      </c>
      <c r="B383" s="3" t="s">
        <v>682</v>
      </c>
      <c r="C383" s="3" t="s">
        <v>654</v>
      </c>
      <c r="D383" s="3" t="str">
        <f t="shared" si="9"/>
        <v>[`Three fundament types of data`,``,``,``,``, ``,`&lt;p class='space'&gt;character data, &lt;p class='space'&gt;numeric data,&lt;p class='space'&gt;date data.`, `IS380-CH7`],</v>
      </c>
    </row>
    <row r="384" spans="1:4" ht="75" hidden="1">
      <c r="A384" s="3" t="s">
        <v>662</v>
      </c>
      <c r="B384" s="5" t="s">
        <v>683</v>
      </c>
      <c r="C384" s="3" t="s">
        <v>654</v>
      </c>
      <c r="D384" s="3" t="str">
        <f t="shared" si="9"/>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85" spans="1:4" ht="30" hidden="1">
      <c r="A385" s="3" t="s">
        <v>663</v>
      </c>
      <c r="B385" s="5" t="s">
        <v>684</v>
      </c>
      <c r="C385" s="3" t="s">
        <v>654</v>
      </c>
      <c r="D385" s="3" t="str">
        <f t="shared" si="9"/>
        <v>[`A computed column`,``,``,``,``, ``,`&lt;p class='space'&gt;A computed column (also called a calculated column) represents a derived attribute,  `, `IS380-CH7`],</v>
      </c>
    </row>
    <row r="386" spans="1:4" hidden="1">
      <c r="A386" s="3" t="s">
        <v>664</v>
      </c>
      <c r="B386" s="3" t="s">
        <v>685</v>
      </c>
      <c r="C386" s="3" t="s">
        <v>654</v>
      </c>
      <c r="D386" s="3" t="str">
        <f t="shared" si="9"/>
        <v>[`natural join`,``,``,``,``, ``,`&lt;p class='space'&gt;natural join returns all rows with matching values in the matching columns and eliminates duplicate columns.`, `IS380-CH7`],</v>
      </c>
    </row>
    <row r="387" spans="1:4" ht="135" hidden="1">
      <c r="A387" s="3" t="s">
        <v>669</v>
      </c>
      <c r="B387" s="5" t="s">
        <v>686</v>
      </c>
      <c r="C387" s="3" t="s">
        <v>654</v>
      </c>
      <c r="D387" s="3" t="str">
        <f t="shared" si="9"/>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8" spans="1:4" ht="15.75" hidden="1">
      <c r="A388" s="3" t="s">
        <v>665</v>
      </c>
      <c r="B388" s="10" t="s">
        <v>687</v>
      </c>
      <c r="C388" s="3" t="s">
        <v>654</v>
      </c>
      <c r="D388" s="3" t="str">
        <f t="shared" si="9"/>
        <v>[`cross join`,``,``,``,``, ``,`&lt;p class='space'&gt;cross join performs a relational product (also known as the Cartesian product) of two tables`, `IS380-CH7`],</v>
      </c>
    </row>
    <row r="389" spans="1:4" ht="30" hidden="1">
      <c r="A389" s="3" t="s">
        <v>666</v>
      </c>
      <c r="B389" s="5" t="s">
        <v>688</v>
      </c>
      <c r="C389" s="3" t="s">
        <v>874</v>
      </c>
      <c r="D389" s="3" t="str">
        <f t="shared" si="9"/>
        <v>[`recursive query `,``,``,``,``, ``,`&lt;p class='space'&gt;recursive query&lt;p class='space'&gt;A query that joins a table to itself. `, `IS380-CH07`],</v>
      </c>
    </row>
    <row r="390" spans="1:4" ht="45" hidden="1">
      <c r="A390" s="3" t="s">
        <v>667</v>
      </c>
      <c r="B390" s="5" t="s">
        <v>689</v>
      </c>
      <c r="C390" s="3" t="s">
        <v>874</v>
      </c>
      <c r="D390" s="3" t="str">
        <f t="shared" si="9"/>
        <v>[`WHERE`,``,``,``,``, ``,`&lt;p class='space'&gt;where&lt;p class='space'&gt;A SQL clause that adds conditional restrictions to a SELECT statement that limit the rows returned by the query `, `IS380-CH07`],</v>
      </c>
    </row>
    <row r="391" spans="1:4" hidden="1">
      <c r="A391" s="3" t="s">
        <v>668</v>
      </c>
      <c r="B391" s="3" t="s">
        <v>690</v>
      </c>
      <c r="C391" s="3" t="s">
        <v>654</v>
      </c>
      <c r="D391" s="3" t="str">
        <f t="shared" si="9"/>
        <v>[`boolean algebra`,``,``,``,``, ``,`&lt;p class='space'&gt;boolean algebra&lt;p class='space'&gt;is dedicated to the use of logical operators`, `IS380-CH7`]</v>
      </c>
    </row>
    <row r="392" spans="1:4" hidden="1">
      <c r="A392" t="s">
        <v>850</v>
      </c>
      <c r="B392" t="s">
        <v>851</v>
      </c>
    </row>
    <row r="393" spans="1:4" hidden="1">
      <c r="A393" s="3" t="s">
        <v>670</v>
      </c>
      <c r="B393" s="3" t="s">
        <v>691</v>
      </c>
      <c r="C393" s="3" t="s">
        <v>654</v>
      </c>
      <c r="D393" s="3" t="str">
        <f t="shared" ref="D393:D399" si="10">"[`" &amp; A393 &amp; "`,``,``,``,``, ``,`"  &amp; B393 &amp; "`, `" &amp; C393 &amp; "`]" &amp; IF(C394&lt;&gt;"",",","")</f>
        <v>[`The number of join conditions `,``,``,``,``, ``,`&lt;p class='space'&gt;is always equal to the number of tables being joined minus one.`, `IS380-CH7`],</v>
      </c>
    </row>
    <row r="394" spans="1:4" hidden="1">
      <c r="A394" s="3" t="s">
        <v>671</v>
      </c>
      <c r="B394" s="3" t="s">
        <v>692</v>
      </c>
      <c r="C394" s="3" t="s">
        <v>874</v>
      </c>
      <c r="D394" s="3" t="str">
        <f t="shared" si="1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`IS380-CH07`],</v>
      </c>
    </row>
    <row r="395" spans="1:4" hidden="1">
      <c r="A395" s="3" t="s">
        <v>672</v>
      </c>
      <c r="B395" s="3" t="s">
        <v>693</v>
      </c>
      <c r="C395" s="3" t="s">
        <v>654</v>
      </c>
      <c r="D395" s="3" t="str">
        <f t="shared" si="1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396" spans="1:4" hidden="1">
      <c r="A396" s="3" t="s">
        <v>673</v>
      </c>
      <c r="B396" s="3" t="s">
        <v>694</v>
      </c>
      <c r="C396" s="3" t="s">
        <v>654</v>
      </c>
      <c r="D396" s="3" t="str">
        <f t="shared" si="10"/>
        <v>[`COUNT`,``,``,``,``, ``,`&lt;p class='space'&gt;Count, A SQL aggregate function that outputs the number of rows containing not null values for a given column or expression, sometimes used in conjunction with the DISTINCT clause`, `IS380-CH7`],</v>
      </c>
    </row>
    <row r="397" spans="1:4" ht="30" hidden="1">
      <c r="A397" s="3" t="s">
        <v>674</v>
      </c>
      <c r="B397" s="5" t="s">
        <v>695</v>
      </c>
      <c r="C397" s="3" t="s">
        <v>654</v>
      </c>
      <c r="D397" s="3" t="str">
        <f t="shared" si="10"/>
        <v>[`correlated subquery`,``,``,``,``, ``,`&lt;p class='space'&gt;correlated subquery A subquery that executes once for each row in the outer query.`, `IS380-CH7`],</v>
      </c>
    </row>
    <row r="398" spans="1:4" hidden="1">
      <c r="A398" s="3" t="s">
        <v>675</v>
      </c>
      <c r="B398" s="3" t="s">
        <v>696</v>
      </c>
      <c r="C398" s="3" t="s">
        <v>654</v>
      </c>
      <c r="D398" s="3" t="str">
        <f t="shared" si="10"/>
        <v>[`EXISTS`,``,``,``,``, ``,`&lt;p class='space'&gt;EXISTS In SQL, a comparison operator that checks whether a subquery returns any rows`, `IS380-CH7`],</v>
      </c>
    </row>
    <row r="399" spans="1:4" hidden="1">
      <c r="A399" s="3" t="s">
        <v>872</v>
      </c>
      <c r="B399" t="s">
        <v>879</v>
      </c>
      <c r="C399" s="3" t="s">
        <v>873</v>
      </c>
      <c r="D399" s="3" t="str">
        <f t="shared" si="10"/>
        <v>[`select`,``,``,``,``, ``,`&lt;p class='space'&gt;SELECT yields a horizontal subset of a table. SELECT will not limit the attributes returned so all attributes of the table will be included in the result.&lt;p class='space'&gt;Select is denoted by the lowercase Greek letter sigma (σ).`, `IS380-CH03`],</v>
      </c>
    </row>
    <row r="400" spans="1:4" hidden="1">
      <c r="A400" s="3" t="s">
        <v>875</v>
      </c>
      <c r="B400" t="s">
        <v>880</v>
      </c>
      <c r="C400" s="3" t="s">
        <v>873</v>
      </c>
      <c r="D400" s="3" t="str">
        <f t="shared" ref="D400:D401" si="11">"[`" &amp; A400 &amp; "`,``,``,``,``, ``,`"  &amp; B400 &amp; "`, `" &amp; C400 &amp; "`]" &amp; IF(C401&lt;&gt;"",",","")</f>
        <v>[`project`,``,``,``,``, ``,`&lt;p class='space'&gt;Project Project yields all values for selected attributes.&lt;p class='space'&gt;It is also a unary operator, accepting only one table as input.&lt;p class='space'&gt;PROJECT will return only the attributes requested, in the order in which they are requested.&lt;p class='space'&gt;In other words, PROJECT yields a vertical subset of a table.&lt;p class='space'&gt;PROJECT will not limit the rows returned, so all rows of the specified attributes will be included in the result.`, `IS380-CH03`],</v>
      </c>
    </row>
    <row r="401" spans="1:4" hidden="1">
      <c r="A401" s="3" t="s">
        <v>876</v>
      </c>
      <c r="B401" t="s">
        <v>881</v>
      </c>
      <c r="C401" s="3" t="s">
        <v>873</v>
      </c>
      <c r="D401" s="3" t="str">
        <f t="shared" si="11"/>
        <v>[`join`,``,``,``,``, ``,`&lt;p class='space'&gt;Join allows information to be intelligently combined from two or more tables. JOIN is the real power behind the relational database, allowing the use of independent tables linked by common attributes.`, `IS380-CH03`]</v>
      </c>
    </row>
  </sheetData>
  <autoFilter xmlns:x14="http://schemas.microsoft.com/office/spreadsheetml/2009/9/main" ref="A1:D401" xr:uid="{609772C0-A67C-467C-8C97-7964030E5478}">
    <filterColumn colId="1">
      <filters>
        <mc:AlternateContent xmlns:mc="http://schemas.openxmlformats.org/markup-compatibility/2006">
          <mc:Choice Requires="x14">
            <x14:filter val="\nUnstructured data - Unstructured data is data that exists in its original (raw) state—that is, in the format in which it was collected. Therefore, unstructured data exists in a format that does not lend itself to the processing that yields information\n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x14:filter val="&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
            <x14:filter val="&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x14:filter val="&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nCrow’s Foot modeling notation do not depict the specific cardinalities on the ER diagram itself because the specific limits described by the cardinalities cannot be implemented directly through the database design."/>
            <x14:filter val="&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x14:filter val="&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x14:filter val="&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x14:filter val="&lt;p class='space'&gt;recursive query&lt;p class='space'&gt;A query that joins a table to itself."/>
            <x14:filter val="&lt;p class='space'&gt;Select,&lt;p class='space'&gt;Project,&lt;p class='space'&gt;Join"/>
            <x14:filter val="&lt;p class='space'&gt;where&lt;p class='space'&gt;A SQL clause that adds conditional restrictions to a SELECT statement that limit the rows returned by the query"/>
          </mc:Choice>
          <mc:Fallback>
            <filter val="&lt;p class='space'&gt;recursive query&lt;p class='space'&gt;A query that joins a table to itself."/>
            <filter val="&lt;p class='space'&gt;Select,&lt;p class='space'&gt;Project,&lt;p class='space'&gt;Join"/>
            <filter val="&lt;p class='space'&gt;where&lt;p class='space'&gt;A SQL clause that adds conditional restrictions to a SELECT statement that limit the rows returned by the query"/>
          </mc:Fallback>
        </mc:AlternateContent>
      </filters>
    </filterColumn>
    <filterColumn colId="2">
      <filters>
        <filter val="IS380-ch01"/>
        <filter val="IS380-ch02"/>
        <filter val="IS380-ch03"/>
        <filter val="IS380-ch06"/>
      </filters>
    </filterColumn>
    <sortState ref="A199:D398">
      <sortCondition ref="C1:C398"/>
    </sortState>
  </autoFilter>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98C92-731C-41C8-B178-51AF93D69C53}">
  <dimension ref="A1:D35"/>
  <sheetViews>
    <sheetView workbookViewId="0">
      <selection activeCell="D1" sqref="D1:D3"/>
    </sheetView>
  </sheetViews>
  <sheetFormatPr defaultRowHeight="15"/>
  <cols>
    <col min="2" max="2" width="46.7109375" bestFit="1" customWidth="1"/>
    <col min="3" max="3" width="43.140625" bestFit="1" customWidth="1"/>
  </cols>
  <sheetData>
    <row r="1" spans="1:4" ht="30">
      <c r="A1">
        <v>1</v>
      </c>
      <c r="B1" s="12" t="s">
        <v>1046</v>
      </c>
      <c r="C1" t="str">
        <f>RIGHT(B1,LEN(B1)-1)</f>
        <v>.Pressure for conformity (groupthink)</v>
      </c>
      <c r="D1" t="str">
        <f>"\n("&amp;A1&amp;") "&amp;C1</f>
        <v>\n(1) .Pressure for conformity (groupthink)</v>
      </c>
    </row>
    <row r="2" spans="1:4" ht="30">
      <c r="A2">
        <v>2</v>
      </c>
      <c r="B2" s="12" t="s">
        <v>1047</v>
      </c>
      <c r="C2" t="str">
        <f t="shared" ref="C2:C7" si="0">RIGHT(B2,LEN(B2)-1)</f>
        <v>.Domination by forceful members</v>
      </c>
      <c r="D2" t="str">
        <f t="shared" ref="D2:D7" si="1">"\n("&amp;A2&amp;") "&amp;C2</f>
        <v>\n(2) .Domination by forceful members</v>
      </c>
    </row>
    <row r="3" spans="1:4" ht="30">
      <c r="A3">
        <v>3</v>
      </c>
      <c r="B3" s="14" t="s">
        <v>1048</v>
      </c>
      <c r="C3" t="str">
        <f t="shared" si="0"/>
        <v>ime and organization requirements</v>
      </c>
      <c r="D3" t="str">
        <f t="shared" si="1"/>
        <v>\n(3) ime and organization requirements</v>
      </c>
    </row>
    <row r="4" spans="1:4" ht="34.5">
      <c r="A4">
        <v>4</v>
      </c>
      <c r="B4" s="13" t="s">
        <v>1045</v>
      </c>
      <c r="C4" t="str">
        <f t="shared" si="0"/>
        <v>isadvantages of group decision making:</v>
      </c>
      <c r="D4" t="str">
        <f t="shared" si="1"/>
        <v>\n(4) isadvantages of group decision making:</v>
      </c>
    </row>
    <row r="5" spans="1:4" ht="30">
      <c r="A5">
        <v>5</v>
      </c>
      <c r="B5" s="12" t="s">
        <v>1046</v>
      </c>
      <c r="C5" t="str">
        <f t="shared" si="0"/>
        <v>.Pressure for conformity (groupthink)</v>
      </c>
      <c r="D5" t="str">
        <f t="shared" si="1"/>
        <v>\n(5) .Pressure for conformity (groupthink)</v>
      </c>
    </row>
    <row r="6" spans="1:4" ht="30">
      <c r="A6">
        <v>6</v>
      </c>
      <c r="B6" s="12" t="s">
        <v>1047</v>
      </c>
      <c r="C6" t="str">
        <f t="shared" si="0"/>
        <v>.Domination by forceful members</v>
      </c>
      <c r="D6" t="str">
        <f t="shared" si="1"/>
        <v>\n(6) .Domination by forceful members</v>
      </c>
    </row>
    <row r="7" spans="1:4" ht="30">
      <c r="A7">
        <v>7</v>
      </c>
      <c r="B7" s="14" t="s">
        <v>1048</v>
      </c>
      <c r="C7" t="str">
        <f t="shared" si="0"/>
        <v>ime and organization requirements</v>
      </c>
      <c r="D7" t="str">
        <f t="shared" si="1"/>
        <v>\n(7) ime and organization requirements</v>
      </c>
    </row>
    <row r="8" spans="1:4">
      <c r="A8">
        <v>8</v>
      </c>
    </row>
    <row r="9" spans="1:4">
      <c r="A9">
        <v>9</v>
      </c>
    </row>
    <row r="10" spans="1:4">
      <c r="A10">
        <v>10</v>
      </c>
    </row>
    <row r="11" spans="1:4">
      <c r="A11">
        <v>11</v>
      </c>
    </row>
    <row r="12" spans="1:4">
      <c r="A12">
        <v>12</v>
      </c>
    </row>
    <row r="13" spans="1:4">
      <c r="A13">
        <v>13</v>
      </c>
    </row>
    <row r="14" spans="1:4">
      <c r="A14">
        <v>14</v>
      </c>
    </row>
    <row r="20" spans="1:1">
      <c r="A20" t="s">
        <v>1020</v>
      </c>
    </row>
    <row r="21" spans="1:1">
      <c r="A21" t="s">
        <v>1021</v>
      </c>
    </row>
    <row r="22" spans="1:1">
      <c r="A22" t="s">
        <v>1022</v>
      </c>
    </row>
    <row r="23" spans="1:1">
      <c r="A23" t="s">
        <v>1023</v>
      </c>
    </row>
    <row r="24" spans="1:1">
      <c r="A24" t="s">
        <v>1032</v>
      </c>
    </row>
    <row r="26" spans="1:1">
      <c r="A26" t="s">
        <v>1033</v>
      </c>
    </row>
    <row r="27" spans="1:1">
      <c r="A27" t="s">
        <v>1034</v>
      </c>
    </row>
    <row r="28" spans="1:1">
      <c r="A28" t="s">
        <v>1035</v>
      </c>
    </row>
    <row r="30" spans="1:1">
      <c r="A30" t="s">
        <v>1036</v>
      </c>
    </row>
    <row r="32" spans="1:1">
      <c r="A32" t="s">
        <v>1037</v>
      </c>
    </row>
    <row r="33" spans="1:1">
      <c r="A33" t="s">
        <v>1038</v>
      </c>
    </row>
    <row r="35" spans="1:1">
      <c r="A35" t="s">
        <v>1039</v>
      </c>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A9389-70CA-4B7A-B5CD-60AFCBFA6D33}">
  <sheetPr codeName="Sheet4"/>
  <dimension ref="A1:D16"/>
  <sheetViews>
    <sheetView workbookViewId="0">
      <selection activeCell="D16" sqref="D16"/>
    </sheetView>
  </sheetViews>
  <sheetFormatPr defaultRowHeight="15"/>
  <cols>
    <col min="1" max="1" width="14.140625" customWidth="1"/>
    <col min="2" max="2" width="15.28515625" customWidth="1"/>
    <col min="3" max="3" width="20.28515625" bestFit="1" customWidth="1"/>
    <col min="4" max="4" width="48.140625" customWidth="1"/>
  </cols>
  <sheetData>
    <row r="1" spans="1:4">
      <c r="A1" t="s">
        <v>0</v>
      </c>
      <c r="B1" t="s">
        <v>2</v>
      </c>
      <c r="C1" t="s">
        <v>3</v>
      </c>
      <c r="D1" t="s">
        <v>6</v>
      </c>
    </row>
    <row r="2" spans="1:4">
      <c r="A2" t="s">
        <v>20</v>
      </c>
      <c r="B2" t="s">
        <v>21</v>
      </c>
      <c r="C2" t="s">
        <v>22</v>
      </c>
      <c r="D2" t="s">
        <v>23</v>
      </c>
    </row>
    <row r="3" spans="1:4">
      <c r="C3" t="s">
        <v>24</v>
      </c>
      <c r="D3" t="s">
        <v>25</v>
      </c>
    </row>
    <row r="4" spans="1:4">
      <c r="D4" t="s">
        <v>26</v>
      </c>
    </row>
    <row r="5" spans="1:4">
      <c r="C5" t="s">
        <v>27</v>
      </c>
      <c r="D5" t="s">
        <v>28</v>
      </c>
    </row>
    <row r="6" spans="1:4">
      <c r="C6" t="s">
        <v>29</v>
      </c>
      <c r="D6" t="s">
        <v>30</v>
      </c>
    </row>
    <row r="7" spans="1:4">
      <c r="D7" t="s">
        <v>31</v>
      </c>
    </row>
    <row r="8" spans="1:4">
      <c r="D8" t="s">
        <v>32</v>
      </c>
    </row>
    <row r="9" spans="1:4">
      <c r="D9" t="s">
        <v>33</v>
      </c>
    </row>
    <row r="10" spans="1:4">
      <c r="D10" t="s">
        <v>34</v>
      </c>
    </row>
    <row r="11" spans="1:4">
      <c r="D11" t="s">
        <v>35</v>
      </c>
    </row>
    <row r="12" spans="1:4">
      <c r="D12" t="s">
        <v>37</v>
      </c>
    </row>
    <row r="13" spans="1:4">
      <c r="D13" t="s">
        <v>36</v>
      </c>
    </row>
    <row r="14" spans="1:4">
      <c r="C14" t="s">
        <v>38</v>
      </c>
      <c r="D14" t="s">
        <v>39</v>
      </c>
    </row>
    <row r="15" spans="1:4">
      <c r="C15" t="s">
        <v>40</v>
      </c>
      <c r="D15" t="s">
        <v>41</v>
      </c>
    </row>
    <row r="16" spans="1:4">
      <c r="D16" t="s">
        <v>42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B8F58-2D41-48ED-BDCE-996CBF6A94CA}">
  <sheetPr codeName="Sheet5"/>
  <dimension ref="A1:D48"/>
  <sheetViews>
    <sheetView topLeftCell="A34" workbookViewId="0">
      <selection activeCell="A27" sqref="A27:D47"/>
    </sheetView>
  </sheetViews>
  <sheetFormatPr defaultRowHeight="15"/>
  <cols>
    <col min="1" max="1" width="62.7109375" style="3" customWidth="1"/>
    <col min="2" max="2" width="83" style="3" customWidth="1"/>
    <col min="3" max="3" width="16.5703125" style="3" customWidth="1"/>
    <col min="4" max="16384" width="9.140625" style="3"/>
  </cols>
  <sheetData>
    <row r="1" spans="1:4">
      <c r="A1" s="2" t="s">
        <v>44</v>
      </c>
      <c r="B1" s="3" t="s">
        <v>646</v>
      </c>
      <c r="C1" s="3" t="s">
        <v>71</v>
      </c>
      <c r="D1" s="3" t="str">
        <f>"[`" &amp; A1 &amp; "`,``,``,``,``, ``,`"  &amp; B1 &amp; "`, `" &amp; C1 &amp; "`],"</f>
        <v>[`1. What is the difference between Data and Information?`,``,``,``,``, ``,`&lt;p class='space'&gt;Data consists of raw facts where information results from processing raw information. &lt;p class='space'&gt;Information is the result of processing raw data to reveal its meaning.`, `IS380`],</v>
      </c>
    </row>
    <row r="2" spans="1:4">
      <c r="A2" s="3" t="s">
        <v>43</v>
      </c>
      <c r="B2" s="3" t="s">
        <v>647</v>
      </c>
      <c r="C2" s="3" t="s">
        <v>71</v>
      </c>
      <c r="D2" s="3" t="str">
        <f t="shared" ref="D2:D47" si="0">"[`" &amp; A2 &amp; "`,``,``,``,``, ``,`"  &amp; B2 &amp; "`, `" &amp; C2 &amp; "`],"</f>
        <v>[`2. What is a database?`,``,``,``,``, ``,`&lt;p class='space'&gt;A shared, integrated computer structure that houses a collection of related data. &lt;p class='space'&gt;A database contains two types of data: end-user data (raw facts) and metadata. `, `IS380`],</v>
      </c>
    </row>
    <row r="3" spans="1:4">
      <c r="A3" s="4" t="s">
        <v>46</v>
      </c>
      <c r="B3" s="3" t="s">
        <v>648</v>
      </c>
      <c r="C3" s="3" t="s">
        <v>71</v>
      </c>
      <c r="D3" s="3" t="str">
        <f t="shared" si="0"/>
        <v>[`  What is metadata?`,``,``,``,``, ``,`&lt;p class='space'&gt;Data about data; &lt;p class='space'&gt;That is, data about data characteristics and relationships.&lt;p class='space'&gt;e.g. Technical metadata properties include file types, size, creation date and time, and type of compression.`, `IS380`],</v>
      </c>
    </row>
    <row r="4" spans="1:4" ht="30">
      <c r="A4" s="3" t="s">
        <v>48</v>
      </c>
      <c r="B4" s="5" t="s">
        <v>649</v>
      </c>
      <c r="C4" s="3" t="s">
        <v>71</v>
      </c>
      <c r="D4" s="3" t="str">
        <f t="shared" si="0"/>
        <v>[`3. What is a DBMS?  `,``,``,``,``, ``,`&lt;p class='space'&gt;A database management system (DBMS) is a collection of programs that manages, the database structure and controls access to the data stored in the database.`, `IS380`],</v>
      </c>
    </row>
    <row r="5" spans="1:4" ht="105">
      <c r="A5" s="3" t="s">
        <v>49</v>
      </c>
      <c r="B5" s="5" t="s">
        <v>650</v>
      </c>
      <c r="C5" s="3" t="s">
        <v>71</v>
      </c>
      <c r="D5" s="3" t="str">
        <f t="shared" si="0"/>
        <v>[`a. What are some advantages of a DBMS (why would you use one)?`,``,``,``,``, ``,`&lt;p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 `IS380`],</v>
      </c>
    </row>
    <row r="6" spans="1:4">
      <c r="A6" s="3" t="s">
        <v>50</v>
      </c>
      <c r="B6" s="3" t="s">
        <v>651</v>
      </c>
      <c r="C6" s="3" t="s">
        <v>71</v>
      </c>
      <c r="D6" s="3" t="str">
        <f t="shared" si="0"/>
        <v>[`4. What are some disadvantages of using a Database System?`,``,``,``,``, ``,`&lt;p class='space'&gt;Cost, need to hire technical staff to design, manage, and operate the DBMS system.`, `IS380`],</v>
      </c>
    </row>
    <row r="7" spans="1:4" ht="180">
      <c r="A7" s="3" t="s">
        <v>52</v>
      </c>
      <c r="B7" s="5" t="s">
        <v>652</v>
      </c>
      <c r="C7" s="3" t="s">
        <v>71</v>
      </c>
      <c r="D7" s="3" t="str">
        <f t="shared" si="0"/>
        <v>[`Understand the different types of databases discussed in the text:`,``,``,``,``, ``,`&lt;p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 `IS380`],</v>
      </c>
    </row>
    <row r="8" spans="1:4" ht="120">
      <c r="A8" s="3" t="s">
        <v>54</v>
      </c>
      <c r="B8" s="5" t="s">
        <v>653</v>
      </c>
      <c r="C8" s="3" t="s">
        <v>71</v>
      </c>
      <c r="D8" s="3" t="str">
        <f t="shared" si="0"/>
        <v>[`NOSQL DB`,``,``,``,``, ``,`&lt;p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 `IS380`],</v>
      </c>
    </row>
    <row r="9" spans="1:4" ht="90">
      <c r="A9" s="6" t="s">
        <v>56</v>
      </c>
      <c r="B9" s="5" t="s">
        <v>55</v>
      </c>
      <c r="C9" s="3" t="s">
        <v>71</v>
      </c>
      <c r="D9" s="3" t="str">
        <f t="shared" si="0"/>
        <v>[`Transactional (production) database (OLTP)`,``,``,``,``, ``,`i.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v>
      </c>
    </row>
    <row r="10" spans="1:4">
      <c r="A10" s="1" t="s">
        <v>57</v>
      </c>
      <c r="B10" s="3" t="s">
        <v>58</v>
      </c>
      <c r="C10" s="3" t="s">
        <v>71</v>
      </c>
      <c r="D10" s="3" t="str">
        <f t="shared" si="0"/>
        <v>[`Data warehouse database (OLAP) `,``,``,``,``, ``,`ii.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 `IS380`],</v>
      </c>
    </row>
    <row r="11" spans="1:4" ht="120">
      <c r="A11" s="3" t="s">
        <v>59</v>
      </c>
      <c r="B11" s="5" t="s">
        <v>73</v>
      </c>
      <c r="C11" s="3" t="s">
        <v>71</v>
      </c>
      <c r="D11" s="3" t="str">
        <f t="shared" si="0"/>
        <v>[`f. Degree of data structure`,``,``,``,``, ``,`i.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v>
      </c>
    </row>
    <row r="12" spans="1:4">
      <c r="A12" s="1" t="s">
        <v>61</v>
      </c>
      <c r="B12" s="7" t="s">
        <v>60</v>
      </c>
      <c r="C12" s="3" t="s">
        <v>71</v>
      </c>
      <c r="D12" s="3" t="str">
        <f t="shared" si="0"/>
        <v>[`Field`,``,``,``,``, ``,`a. Field - A character or group of characters (alphabetic or numeric) that has a specific meaning. A field is used to define and store data`, `IS380`],</v>
      </c>
    </row>
    <row r="13" spans="1:4">
      <c r="A13" s="8" t="s">
        <v>65</v>
      </c>
      <c r="B13" s="3" t="s">
        <v>62</v>
      </c>
      <c r="C13" s="3" t="s">
        <v>71</v>
      </c>
      <c r="D13" s="3" t="str">
        <f t="shared" si="0"/>
        <v>[`Record`,``,``,``,``, ``,`b. Record - A logically connected set of one or more fields that describes a person, place, or thing. For example, the fields that constitute a record for a customer might consist of the customer's name, address, phone number, date of birth, credit limit, and unpaid balance.`, `IS380`],</v>
      </c>
    </row>
    <row r="14" spans="1:4">
      <c r="A14" s="3" t="s">
        <v>64</v>
      </c>
      <c r="B14" s="3" t="s">
        <v>63</v>
      </c>
      <c r="C14" s="3" t="s">
        <v>71</v>
      </c>
      <c r="D14" s="3" t="str">
        <f t="shared" si="0"/>
        <v>[`file`,``,``,``,``, ``,`c. File - A collection of related records. For example, a file might contain data about the students currently enrolled at gigantic University.`, `IS380`],</v>
      </c>
    </row>
    <row r="15" spans="1:4" ht="60">
      <c r="A15" s="3" t="s">
        <v>66</v>
      </c>
      <c r="B15" s="5" t="s">
        <v>74</v>
      </c>
      <c r="C15" s="3" t="s">
        <v>71</v>
      </c>
      <c r="D15" s="3" t="str">
        <f t="shared" si="0"/>
        <v>[`8. What are some problems with using manual file systems for data processing? `,``,``,``,``, ``,`A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v>
      </c>
    </row>
    <row r="16" spans="1:4">
      <c r="A16" s="9" t="s">
        <v>69</v>
      </c>
      <c r="B16" s="3" t="s">
        <v>70</v>
      </c>
      <c r="C16" s="3" t="s">
        <v>71</v>
      </c>
      <c r="D16" s="3" t="str">
        <f t="shared" si="0"/>
        <v>[`To be considered a Minimally Relational Database, which relational operators must the database support? `,``,``,``,``, ``,`Select, Join, project, union, intersect, difference, product `, `IS380`],</v>
      </c>
    </row>
    <row r="17" spans="1:4">
      <c r="A17" s="3" t="s">
        <v>98</v>
      </c>
      <c r="B17" s="3" t="s">
        <v>99</v>
      </c>
      <c r="C17" s="3" t="s">
        <v>71</v>
      </c>
      <c r="D17" s="3" t="str">
        <f t="shared" si="0"/>
        <v>[`extended entity relationship (EER) model`,``,``,``,``, ``,`The EER model builds on entity relationship (ER) concepts and adds support for entity supertypes, subtypes, and entity clustering, enhanced entity relationship model, is the result of adding more semantic constructs to the original ER model`, `IS380`],</v>
      </c>
    </row>
    <row r="18" spans="1:4">
      <c r="A18" s="3" t="s">
        <v>100</v>
      </c>
      <c r="B18" s="3" t="s">
        <v>101</v>
      </c>
      <c r="C18" s="3" t="s">
        <v>71</v>
      </c>
      <c r="D18" s="3" t="str">
        <f t="shared" si="0"/>
        <v>[`Entity Supertypes and Subtypes`,``,``,``,``, ``,`In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 `IS380`],</v>
      </c>
    </row>
    <row r="19" spans="1:4">
      <c r="A19" s="3" t="s">
        <v>102</v>
      </c>
      <c r="B19" s="3" t="s">
        <v>103</v>
      </c>
      <c r="C19" s="3" t="s">
        <v>71</v>
      </c>
      <c r="D19" s="3" t="str">
        <f t="shared" si="0"/>
        <v>[`inheritance`,``,``,``,``, ``,`inheritance enables an entity subtype to inherit the attributes and relationships of the supertype, Entity subtypes inherit all relationships in which the supertype entity participates. `, `IS380`],</v>
      </c>
    </row>
    <row r="20" spans="1:4" ht="15.75">
      <c r="A20" s="10" t="s">
        <v>104</v>
      </c>
      <c r="B20" s="3" t="s">
        <v>105</v>
      </c>
      <c r="C20" s="3" t="s">
        <v>71</v>
      </c>
      <c r="D20" s="3" t="str">
        <f t="shared" si="0"/>
        <v>[`Subtype Discriminator`,``,``,``,``, ``,`A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v>
      </c>
    </row>
    <row r="21" spans="1:4">
      <c r="A21" s="3" t="s">
        <v>106</v>
      </c>
      <c r="B21" s="3" t="s">
        <v>107</v>
      </c>
      <c r="C21" s="3" t="s">
        <v>71</v>
      </c>
      <c r="D21" s="3" t="str">
        <f t="shared" si="0"/>
        <v>[`Completeness Constraint`,``,``,``,``, ``,`completeness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v>
      </c>
    </row>
    <row r="22" spans="1:4" ht="15.75">
      <c r="A22" s="10" t="s">
        <v>108</v>
      </c>
      <c r="B22" s="3" t="s">
        <v>109</v>
      </c>
      <c r="C22" s="3" t="s">
        <v>71</v>
      </c>
      <c r="D22" s="3" t="str">
        <f t="shared" si="0"/>
        <v>[`Specialization and Generalization`,``,``,``,``, ``,`Specialization is the top-down process of identifying lower-level, more specific entity subtypes from a higher-level entity supertype. Generalization is the bottom-up process of identifying a higher-level, more generic entity supertype from lower-level entity subtypes.`, `IS380`],</v>
      </c>
    </row>
    <row r="23" spans="1:4">
      <c r="A23" s="3" t="s">
        <v>110</v>
      </c>
      <c r="B23" s="3" t="s">
        <v>111</v>
      </c>
      <c r="C23" s="3" t="s">
        <v>71</v>
      </c>
      <c r="D23" s="3" t="str">
        <f t="shared" si="0"/>
        <v>[`Entity Clustering`,``,``,``,``, ``,`use entity clusters to minimize the number of entities shown in the ERD, entity cluster is a “virtual” entity type used to represent multiple entities and relationships in the ERD. When using entity clusters, the key attributes of the combined entities are no longer available. `, `IS380`],</v>
      </c>
    </row>
    <row r="24" spans="1:4">
      <c r="A24" s="3" t="s">
        <v>112</v>
      </c>
      <c r="B24" s="3" t="s">
        <v>115</v>
      </c>
      <c r="C24" s="3" t="s">
        <v>71</v>
      </c>
      <c r="D24" s="3" t="str">
        <f t="shared" si="0"/>
        <v>[`primary key`,``,``,``,``, ``,` (a single attribute or some combination of attributes), which uniquely identifies each entity instance. function of the primary key is to guarantee entity integrity, not to “describe” the entity`, `IS380`],</v>
      </c>
    </row>
    <row r="25" spans="1:4">
      <c r="A25" s="3" t="s">
        <v>114</v>
      </c>
      <c r="B25" s="3" t="s">
        <v>113</v>
      </c>
      <c r="C25" s="3" t="s">
        <v>71</v>
      </c>
      <c r="D25" s="3" t="str">
        <f t="shared" si="0"/>
        <v>[`natural key or natural identifier`,``,``,``,``, ``,`natural key or natural identifier is a real-world, generally accepted identifier used to distinguish, that is, uniquely identify, real-world objects. `, `IS380`],</v>
      </c>
    </row>
    <row r="26" spans="1:4">
      <c r="A26" s="3" t="s">
        <v>116</v>
      </c>
      <c r="B26" s="3" t="s">
        <v>117</v>
      </c>
      <c r="C26" s="3" t="s">
        <v>71</v>
      </c>
      <c r="D26" s="3" t="str">
        <f t="shared" si="0"/>
        <v>[`Surrogate Primary Keys`,``,``,``,``, ``,`A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 `IS380`],</v>
      </c>
    </row>
    <row r="27" spans="1:4">
      <c r="A27" s="3" t="s">
        <v>655</v>
      </c>
      <c r="B27" s="3" t="s">
        <v>676</v>
      </c>
      <c r="C27" s="3" t="s">
        <v>654</v>
      </c>
      <c r="D27" s="3" t="str">
        <f t="shared" si="0"/>
        <v>[`DML`,``,``,``,``, ``,`&lt;p class='space'&gt;data manipulation language (DML).&lt;p class='space'&gt;SQL is a DML- it includes commands to insert, update, delete data within the database tables. `, `IS380-CH7`],</v>
      </c>
    </row>
    <row r="28" spans="1:4">
      <c r="A28" s="3" t="s">
        <v>656</v>
      </c>
      <c r="B28" s="3" t="s">
        <v>677</v>
      </c>
      <c r="C28" s="3" t="s">
        <v>654</v>
      </c>
      <c r="D28" s="3" t="str">
        <f t="shared" si="0"/>
        <v>[`DDL`,``,``,``,``, ``,`&lt;p class='space'&gt;Data definition language (DDL). &lt;p class='space'&gt;SQL includes commands to create database objects (CREATE, ALTER, DROP, RENAME, TRUNCATE) such as tables, indexes, and views, as well as commands to define access rights to those database objects.`, `IS380-CH7`],</v>
      </c>
    </row>
    <row r="29" spans="1:4">
      <c r="A29" s="3" t="s">
        <v>657</v>
      </c>
      <c r="B29" s="3" t="s">
        <v>678</v>
      </c>
      <c r="C29" s="3" t="s">
        <v>654</v>
      </c>
      <c r="D29" s="3" t="str">
        <f t="shared" si="0"/>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`IS380-CH7`],</v>
      </c>
    </row>
    <row r="30" spans="1:4">
      <c r="A30" s="3" t="s">
        <v>658</v>
      </c>
      <c r="B30" s="5" t="s">
        <v>679</v>
      </c>
      <c r="C30" s="3" t="s">
        <v>654</v>
      </c>
      <c r="D30" s="3" t="str">
        <f t="shared" si="0"/>
        <v>[`TCL`,``,``,``,``, ``,`&lt;p class='space'&gt;Transaction Control Language (TCL) - COMMIT, ROLLBACK, SAVEPOINT `, `IS380-CH7`],</v>
      </c>
    </row>
    <row r="31" spans="1:4" ht="30">
      <c r="A31" s="3" t="s">
        <v>659</v>
      </c>
      <c r="B31" s="5" t="s">
        <v>680</v>
      </c>
      <c r="C31" s="3" t="s">
        <v>654</v>
      </c>
      <c r="D31" s="3" t="str">
        <f t="shared" si="0"/>
        <v>[`DCL`,``,``,``,``, ``,`&lt;p class='space'&gt;Data Control Language (DCL) - GRANT, REVOKE -&lt;p class='space'&gt;used to control access to database objects. `, `IS380-CH7`],</v>
      </c>
    </row>
    <row r="32" spans="1:4">
      <c r="A32" s="3" t="s">
        <v>660</v>
      </c>
      <c r="B32" s="3" t="s">
        <v>681</v>
      </c>
      <c r="C32" s="3" t="s">
        <v>654</v>
      </c>
      <c r="D32" s="3" t="str">
        <f t="shared" si="0"/>
        <v>[`SQL`,``,``,``,``, ``,`&lt;p class='space'&gt;Structured Query Language&lt;p class='space'&gt;Its basic command set has a vocabulary of fewer than 100 words.&lt;p class='space'&gt;ANSI SQL standard`, `IS380-CH7`],</v>
      </c>
    </row>
    <row r="33" spans="1:4">
      <c r="A33" s="3" t="s">
        <v>661</v>
      </c>
      <c r="B33" s="3" t="s">
        <v>682</v>
      </c>
      <c r="C33" s="3" t="s">
        <v>654</v>
      </c>
      <c r="D33" s="3" t="str">
        <f t="shared" si="0"/>
        <v>[`Three fundament types of data`,``,``,``,``, ``,`&lt;p class='space'&gt;character data, &lt;p class='space'&gt;numeric data,&lt;p class='space'&gt;date data.`, `IS380-CH7`],</v>
      </c>
    </row>
    <row r="34" spans="1:4" ht="60">
      <c r="A34" s="3" t="s">
        <v>662</v>
      </c>
      <c r="B34" s="5" t="s">
        <v>683</v>
      </c>
      <c r="C34" s="3" t="s">
        <v>654</v>
      </c>
      <c r="D34" s="3" t="str">
        <f t="shared" si="0"/>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5" spans="1:4" ht="30">
      <c r="A35" s="3" t="s">
        <v>663</v>
      </c>
      <c r="B35" s="5" t="s">
        <v>684</v>
      </c>
      <c r="C35" s="3" t="s">
        <v>654</v>
      </c>
      <c r="D35" s="3" t="str">
        <f t="shared" si="0"/>
        <v>[`A computed column`,``,``,``,``, ``,`&lt;p class='space'&gt;A computed column (also called a calculated column) represents a derived attribute,  `, `IS380-CH7`],</v>
      </c>
    </row>
    <row r="36" spans="1:4">
      <c r="A36" s="3" t="s">
        <v>664</v>
      </c>
      <c r="B36" s="3" t="s">
        <v>685</v>
      </c>
      <c r="C36" s="3" t="s">
        <v>654</v>
      </c>
      <c r="D36" s="3" t="str">
        <f t="shared" si="0"/>
        <v>[`natural join`,``,``,``,``, ``,`&lt;p class='space'&gt;natural join returns all rows with matching values in the matching columns and eliminates duplicate columns.`, `IS380-CH7`],</v>
      </c>
    </row>
    <row r="37" spans="1:4" ht="105">
      <c r="A37" s="3" t="s">
        <v>669</v>
      </c>
      <c r="B37" s="5" t="s">
        <v>686</v>
      </c>
      <c r="C37" s="3" t="s">
        <v>654</v>
      </c>
      <c r="D37" s="3" t="str">
        <f t="shared" si="0"/>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 spans="1:4" ht="15.75">
      <c r="A38" s="3" t="s">
        <v>665</v>
      </c>
      <c r="B38" s="10" t="s">
        <v>687</v>
      </c>
      <c r="C38" s="3" t="s">
        <v>654</v>
      </c>
      <c r="D38" s="3" t="str">
        <f t="shared" si="0"/>
        <v>[`cross join`,``,``,``,``, ``,`&lt;p class='space'&gt;cross join performs a relational product (also known as the Cartesian product) of two tables`, `IS380-CH7`],</v>
      </c>
    </row>
    <row r="39" spans="1:4">
      <c r="A39" s="3" t="s">
        <v>666</v>
      </c>
      <c r="B39" s="5" t="s">
        <v>688</v>
      </c>
      <c r="C39" s="3" t="s">
        <v>654</v>
      </c>
      <c r="D39" s="3" t="str">
        <f t="shared" si="0"/>
        <v>[`recursive query `,``,``,``,``, ``,`&lt;p class='space'&gt;recursive query&lt;p class='space'&gt;A query that joins a table to itself. `, `IS380-CH7`],</v>
      </c>
    </row>
    <row r="40" spans="1:4" ht="30">
      <c r="A40" s="3" t="s">
        <v>667</v>
      </c>
      <c r="B40" s="5" t="s">
        <v>689</v>
      </c>
      <c r="C40" s="3" t="s">
        <v>654</v>
      </c>
      <c r="D40" s="3" t="str">
        <f t="shared" si="0"/>
        <v>[`WHERE`,``,``,``,``, ``,`&lt;p class='space'&gt;where&lt;p class='space'&gt;A SQL clause that adds conditional restrictions to a SELECT statement that limit the rows returned by the query `, `IS380-CH7`],</v>
      </c>
    </row>
    <row r="41" spans="1:4">
      <c r="A41" s="3" t="s">
        <v>668</v>
      </c>
      <c r="B41" s="3" t="s">
        <v>690</v>
      </c>
      <c r="C41" s="3" t="s">
        <v>654</v>
      </c>
      <c r="D41" s="3" t="str">
        <f t="shared" si="0"/>
        <v>[`boolean algebra`,``,``,``,``, ``,`&lt;p class='space'&gt;boolean algebra&lt;p class='space'&gt;is dedicated to the use of logical operators`, `IS380-CH7`],</v>
      </c>
    </row>
    <row r="42" spans="1:4">
      <c r="A42" s="3" t="s">
        <v>670</v>
      </c>
      <c r="B42" s="3" t="s">
        <v>691</v>
      </c>
      <c r="C42" s="3" t="s">
        <v>654</v>
      </c>
      <c r="D42" s="3" t="str">
        <f t="shared" si="0"/>
        <v>[`The number of join conditions `,``,``,``,``, ``,`&lt;p class='space'&gt;is always equal to the number of tables being joined minus one.`, `IS380-CH7`],</v>
      </c>
    </row>
    <row r="43" spans="1:4">
      <c r="A43" s="3" t="s">
        <v>671</v>
      </c>
      <c r="B43" s="3" t="s">
        <v>692</v>
      </c>
      <c r="C43" s="3" t="s">
        <v>654</v>
      </c>
      <c r="D43" s="3" t="str">
        <f t="shared" si="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`IS380-CH7`],</v>
      </c>
    </row>
    <row r="44" spans="1:4">
      <c r="A44" s="3" t="s">
        <v>672</v>
      </c>
      <c r="B44" s="3" t="s">
        <v>693</v>
      </c>
      <c r="C44" s="3" t="s">
        <v>654</v>
      </c>
      <c r="D44" s="3" t="str">
        <f t="shared" si="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45" spans="1:4">
      <c r="A45" s="3" t="s">
        <v>673</v>
      </c>
      <c r="B45" s="3" t="s">
        <v>694</v>
      </c>
      <c r="C45" s="3" t="s">
        <v>654</v>
      </c>
      <c r="D45" s="3" t="str">
        <f t="shared" si="0"/>
        <v>[`COUNT`,``,``,``,``, ``,`&lt;p class='space'&gt;Count, A SQL aggregate function that outputs the number of rows containing not null values for a given column or expression, sometimes used in conjunction with the DISTINCT clause`, `IS380-CH7`],</v>
      </c>
    </row>
    <row r="46" spans="1:4" ht="30">
      <c r="A46" s="3" t="s">
        <v>674</v>
      </c>
      <c r="B46" s="5" t="s">
        <v>695</v>
      </c>
      <c r="C46" s="3" t="s">
        <v>654</v>
      </c>
      <c r="D46" s="3" t="str">
        <f t="shared" si="0"/>
        <v>[`correlated subquery`,``,``,``,``, ``,`&lt;p class='space'&gt;correlated subquery A subquery that executes once for each row in the outer query.`, `IS380-CH7`],</v>
      </c>
    </row>
    <row r="47" spans="1:4">
      <c r="A47" s="3" t="s">
        <v>675</v>
      </c>
      <c r="B47" s="3" t="s">
        <v>696</v>
      </c>
      <c r="C47" s="3" t="s">
        <v>654</v>
      </c>
      <c r="D47" s="3" t="str">
        <f t="shared" si="0"/>
        <v>[`EXISTS`,``,``,``,``, ``,`&lt;p class='space'&gt;EXISTS In SQL, a comparison operator that checks whether a subquery returns any rows`, `IS380-CH7`],</v>
      </c>
    </row>
    <row r="48" spans="1:4" ht="18.75" customHeight="1"/>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MANAGING DIFFICULT PEOPLE</vt:lpstr>
      <vt:lpstr>The etiquete edge</vt:lpstr>
      <vt:lpstr>HRM360</vt:lpstr>
      <vt:lpstr>Sheet2</vt:lpstr>
      <vt:lpstr>Fall-2019</vt:lpstr>
      <vt:lpstr>Sheet1</vt:lpstr>
      <vt:lpstr>IS445</vt:lpstr>
      <vt:lpstr>is380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DiDomenico, Joseph E</dc:creator>
  <cp:lastModifiedBy>DiDomenico, Joseph E</cp:lastModifiedBy>
  <dcterms:created xsi:type="dcterms:W3CDTF">2019-08-20T16:48:23Z</dcterms:created>
  <dcterms:modified xsi:type="dcterms:W3CDTF">2019-10-28T02:46:27Z</dcterms:modified>
</cp:coreProperties>
</file>
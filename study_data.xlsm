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AD8A8087-79E8-4686-BD33-80323B6E047E}" xr6:coauthVersionLast="36" xr6:coauthVersionMax="36" xr10:uidLastSave="{00000000-0000-0000-0000-000000000000}"/>
  <bookViews>
    <workbookView xWindow="6285" yWindow="1860" windowWidth="22455" windowHeight="13740" activeTab="3"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'Fall-2019'!$A$1:$D$448</definedName>
    <definedName name="_xlnm._FilterDatabase" localSheetId="2" hidden="1">'HRM360'!$A$1:$D$180</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40" i="7" l="1"/>
  <c r="D441" i="7"/>
  <c r="D442" i="7"/>
  <c r="D443" i="7"/>
  <c r="D444" i="7"/>
  <c r="D445" i="7"/>
  <c r="D446" i="7"/>
  <c r="D447" i="7"/>
  <c r="D448" i="7"/>
  <c r="D439" i="7"/>
  <c r="D438" i="7"/>
  <c r="D427" i="7"/>
  <c r="D428" i="7"/>
  <c r="D429" i="7"/>
  <c r="D430" i="7"/>
  <c r="D431" i="7"/>
  <c r="D432" i="7"/>
  <c r="D433" i="7"/>
  <c r="D434" i="7"/>
  <c r="D435" i="7"/>
  <c r="D436" i="7"/>
  <c r="D437" i="7"/>
  <c r="D426" i="7"/>
  <c r="D425" i="7"/>
  <c r="D424" i="7"/>
  <c r="D423" i="7"/>
  <c r="D422" i="7"/>
  <c r="D421" i="7"/>
  <c r="D420" i="7"/>
  <c r="D419" i="7"/>
  <c r="D418" i="7"/>
  <c r="D417" i="7"/>
  <c r="D416" i="7"/>
  <c r="D415" i="7"/>
  <c r="D414" i="7"/>
  <c r="D413" i="7"/>
  <c r="D412" i="7"/>
  <c r="D411" i="7"/>
  <c r="D410" i="7"/>
  <c r="D409" i="7"/>
  <c r="D408" i="7"/>
  <c r="D407" i="7"/>
  <c r="D406" i="7"/>
  <c r="D405" i="7"/>
  <c r="D404" i="7"/>
  <c r="D385" i="7"/>
  <c r="D386" i="7"/>
  <c r="D387" i="7"/>
  <c r="D388" i="7"/>
  <c r="D389" i="7"/>
  <c r="D390" i="7"/>
  <c r="D391" i="7"/>
  <c r="D392" i="7"/>
  <c r="D393" i="7"/>
  <c r="D394" i="7"/>
  <c r="D395" i="7"/>
  <c r="D396" i="7"/>
  <c r="D397" i="7"/>
  <c r="D398" i="7"/>
  <c r="D399" i="7"/>
  <c r="D400" i="7"/>
  <c r="D401" i="7"/>
  <c r="D402" i="7"/>
  <c r="D403" i="7"/>
  <c r="D384" i="7"/>
  <c r="D329" i="7" l="1"/>
  <c r="D330" i="7"/>
  <c r="D331" i="7"/>
  <c r="D332" i="7"/>
  <c r="D333" i="7"/>
  <c r="D334" i="7"/>
  <c r="D325" i="7"/>
  <c r="D326" i="7"/>
  <c r="D327" i="7"/>
  <c r="D328" i="7"/>
  <c r="D324" i="7"/>
  <c r="D322" i="7"/>
  <c r="D323" i="7"/>
  <c r="D355" i="7"/>
  <c r="D356" i="7"/>
  <c r="D357" i="7"/>
  <c r="D354" i="7"/>
  <c r="D353" i="7"/>
  <c r="D346" i="7"/>
  <c r="D347" i="7"/>
  <c r="D348" i="7"/>
  <c r="D349" i="7"/>
  <c r="D350" i="7"/>
  <c r="D351" i="7"/>
  <c r="D352" i="7"/>
  <c r="D345" i="7"/>
  <c r="D341" i="7"/>
  <c r="D342" i="7"/>
  <c r="D343" i="7"/>
  <c r="D344" i="7"/>
  <c r="D340" i="7"/>
  <c r="D303" i="7"/>
  <c r="D304" i="7"/>
  <c r="D305" i="7"/>
  <c r="D306" i="7"/>
  <c r="D307" i="7"/>
  <c r="D308" i="7"/>
  <c r="D309" i="7"/>
  <c r="D311" i="7"/>
  <c r="D312" i="7"/>
  <c r="D313" i="7"/>
  <c r="D314" i="7"/>
  <c r="D315" i="7"/>
  <c r="D316" i="7"/>
  <c r="D317" i="7"/>
  <c r="D318" i="7"/>
  <c r="D319" i="7"/>
  <c r="D320" i="7"/>
  <c r="D302" i="7"/>
  <c r="D373" i="7" l="1"/>
  <c r="D372" i="7"/>
  <c r="D371" i="7"/>
  <c r="D370" i="7"/>
  <c r="D369" i="7"/>
  <c r="D368" i="7"/>
  <c r="D367" i="7"/>
  <c r="D366" i="7"/>
  <c r="D365" i="7"/>
  <c r="D364" i="7"/>
  <c r="D363" i="7"/>
  <c r="D362" i="7"/>
  <c r="D361" i="7"/>
  <c r="D360" i="7"/>
  <c r="D359" i="7"/>
  <c r="D358" i="7"/>
  <c r="D339" i="7"/>
  <c r="D338" i="7"/>
  <c r="D337" i="7"/>
  <c r="D336" i="7"/>
  <c r="D335" i="7"/>
  <c r="D47" i="4" l="1"/>
  <c r="D34" i="4"/>
  <c r="D35" i="4"/>
  <c r="D36" i="4"/>
  <c r="D37" i="4"/>
  <c r="D38" i="4"/>
  <c r="D39" i="4"/>
  <c r="D40" i="4"/>
  <c r="D41" i="4"/>
  <c r="D42" i="4"/>
  <c r="D43" i="4"/>
  <c r="D44" i="4"/>
  <c r="D45" i="4"/>
  <c r="D46" i="4"/>
  <c r="D33" i="4"/>
  <c r="D32" i="4"/>
  <c r="D31" i="4"/>
  <c r="D30" i="4"/>
  <c r="D29" i="4"/>
  <c r="D28" i="4"/>
  <c r="D27" i="4"/>
  <c r="D285" i="7" l="1"/>
  <c r="D279" i="7"/>
  <c r="D280" i="7"/>
  <c r="D281" i="7"/>
  <c r="D282" i="7"/>
  <c r="D283" i="7"/>
  <c r="D284" i="7"/>
  <c r="D276" i="7"/>
  <c r="D277" i="7"/>
  <c r="D278" i="7"/>
  <c r="D273" i="7"/>
  <c r="D274" i="7"/>
  <c r="D275" i="7"/>
  <c r="D270" i="7"/>
  <c r="D271" i="7"/>
  <c r="D272" i="7"/>
  <c r="D265" i="7"/>
  <c r="D266" i="7"/>
  <c r="D267" i="7"/>
  <c r="D268" i="7"/>
  <c r="D269" i="7"/>
  <c r="D251" i="7"/>
  <c r="D252" i="7"/>
  <c r="D253" i="7"/>
  <c r="D254" i="7"/>
  <c r="D255" i="7"/>
  <c r="D256" i="7"/>
  <c r="D257" i="7"/>
  <c r="D258" i="7"/>
  <c r="D259" i="7"/>
  <c r="D260" i="7"/>
  <c r="D261" i="7"/>
  <c r="D262" i="7"/>
  <c r="D263" i="7"/>
  <c r="D264" i="7"/>
  <c r="D246" i="7"/>
  <c r="D247" i="7"/>
  <c r="D248" i="7"/>
  <c r="D249" i="7"/>
  <c r="D250" i="7"/>
  <c r="D301" i="7"/>
  <c r="D300" i="7"/>
  <c r="D299" i="7"/>
  <c r="D298" i="7"/>
  <c r="D297" i="7"/>
  <c r="D296" i="7"/>
  <c r="D295" i="7"/>
  <c r="D294" i="7"/>
  <c r="D293" i="7"/>
  <c r="D292" i="7"/>
  <c r="D291" i="7"/>
  <c r="D290" i="7"/>
  <c r="D289" i="7"/>
  <c r="D288" i="7"/>
  <c r="D287" i="7"/>
  <c r="D286" i="7"/>
  <c r="D245" i="7" l="1"/>
  <c r="D244" i="7"/>
  <c r="D243" i="7"/>
  <c r="D239" i="7"/>
  <c r="D240" i="7"/>
  <c r="D241" i="7"/>
  <c r="D242" i="7"/>
  <c r="D235" i="7"/>
  <c r="D236" i="7"/>
  <c r="D237" i="7"/>
  <c r="D238" i="7"/>
  <c r="D234" i="7"/>
  <c r="D233" i="7"/>
  <c r="D232" i="7"/>
  <c r="D231" i="7"/>
  <c r="D230" i="7"/>
  <c r="D229" i="7"/>
  <c r="D228" i="7"/>
  <c r="D226" i="7"/>
  <c r="D227"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<sst xmlns="http://schemas.openxmlformats.org/spreadsheetml/2006/main" count="1993" uniqueCount="854">
  <si>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</si>
  <si>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</si>
  <si>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</si>
  <si>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</si>
  <si>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</si>
  <si>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</si>
  <si>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</si>
  <si>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</si>
  <si>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</si>
  <si>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</si>
  <si>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</si>
  <si>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</si>
  <si>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</si>
  <si>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</si>
  <si>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</si>
  <si>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</si>
  <si>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</si>
  <si>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</si>
  <si>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</si>
  <si>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</si>
  <si>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</si>
  <si>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</si>
  <si>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</si>
  <si>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</si>
  <si>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</si>
  <si>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</si>
  <si>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</si>
  <si>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</si>
  <si>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</si>
  <si>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</si>
  <si>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</si>
  <si>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</si>
  <si>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</si>
  <si>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</si>
  <si>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</si>
  <si>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</si>
  <si>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</si>
  <si>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</si>
  <si>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</si>
  <si>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</si>
  <si>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</si>
  <si>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</si>
  <si>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</si>
  <si>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</si>
  <si>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</si>
  <si>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</si>
  <si>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</si>
  <si>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</si>
  <si>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</si>
  <si>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</si>
  <si>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</si>
  <si>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</si>
  <si>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</si>
  <si>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</si>
  <si>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</si>
  <si>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</si>
  <si>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</si>
  <si>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</si>
  <si>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</si>
  <si>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</si>
  <si>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</si>
  <si>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</si>
  <si>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</si>
  <si>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</si>
  <si>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</si>
  <si>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</si>
  <si>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</si>
  <si>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</si>
  <si>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</si>
  <si>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</si>
  <si>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</si>
  <si>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</si>
  <si>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</si>
  <si>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</si>
  <si>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</si>
  <si>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</si>
  <si>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</si>
  <si>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</si>
  <si>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</si>
  <si>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</si>
  <si>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</si>
  <si>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</si>
  <si>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</si>
  <si>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</si>
  <si>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</si>
  <si>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</si>
  <si>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</si>
  <si>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</si>
  <si>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</si>
  <si>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</si>
  <si>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</si>
  <si>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</si>
  <si>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</si>
  <si>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</si>
  <si>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</si>
  <si>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</si>
  <si>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</si>
  <si>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</si>
  <si>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</si>
  <si>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</si>
  <si>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</si>
  <si>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</si>
  <si>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</si>
  <si>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</si>
  <si>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</si>
  <si>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</si>
  <si>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</si>
  <si>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</si>
  <si>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</si>
  <si>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</si>
  <si>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</si>
  <si>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</si>
  <si>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</si>
  <si>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</si>
  <si>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</si>
  <si>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</si>
  <si>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</si>
  <si>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</si>
  <si>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</si>
  <si>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</si>
  <si>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</si>
  <si>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</si>
  <si>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</si>
  <si>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</si>
  <si>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</si>
  <si>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</si>
  <si>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</si>
  <si>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</si>
  <si>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</si>
  <si>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</si>
  <si>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</si>
  <si>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</si>
  <si>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</si>
  <si>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</si>
  <si>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</si>
  <si>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</si>
  <si>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</si>
  <si>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</si>
  <si>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</si>
  <si>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</si>
  <si>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</si>
  <si>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</si>
  <si>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</si>
  <si>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</si>
  <si>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</si>
  <si>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</si>
  <si>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</si>
  <si>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</si>
  <si>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</si>
  <si>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</si>
  <si>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</si>
  <si>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</si>
  <si>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</si>
  <si>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</si>
  <si>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</si>
  <si>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</si>
  <si>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</si>
  <si>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</si>
  <si>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</si>
  <si>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</si>
  <si>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</si>
  <si>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</si>
  <si>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</si>
  <si>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</si>
  <si>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</si>
  <si>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</si>
  <si>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</si>
  <si>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</si>
  <si>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</si>
  <si>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</si>
  <si>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</si>
  <si>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</si>
  <si>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</si>
  <si>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</si>
  <si>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</si>
  <si>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</si>
  <si>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</si>
  <si>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</si>
  <si>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</si>
  <si>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</si>
  <si>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</si>
  <si>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</si>
  <si>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</si>
  <si>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</si>
  <si>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</si>
  <si>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</si>
  <si>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</si>
  <si>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</si>
  <si>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</si>
  <si>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</si>
  <si>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</si>
  <si>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</si>
  <si>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</si>
  <si>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</si>
  <si>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</si>
  <si>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</si>
  <si>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</si>
  <si>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</si>
  <si>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</si>
  <si>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</si>
  <si>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</si>
  <si>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</si>
  <si>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</si>
  <si>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</si>
  <si>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</si>
  <si>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</si>
  <si>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</si>
  <si>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</si>
  <si>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</si>
  <si>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</si>
  <si>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</si>
  <si>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</si>
  <si>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</si>
  <si>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</si>
  <si>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</si>
  <si>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</si>
  <si>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</si>
  <si>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</si>
  <si>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</si>
  <si>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</si>
  <si>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</si>
  <si>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</si>
  <si>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</si>
  <si>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</si>
  <si>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</si>
  <si>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</si>
  <si>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</si>
  <si>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</si>
  <si>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</si>
  <si>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</si>
  <si>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</si>
  <si>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</si>
  <si>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</si>
  <si>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</si>
  <si>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</si>
  <si>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</si>
  <si>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</si>
  <si>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</si>
  <si>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</si>
  <si>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</si>
  <si>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</si>
  <si>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</si>
  <si>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</si>
  <si>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</si>
  <si>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</si>
  <si>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</si>
  <si>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</si>
  <si>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</si>
  <si>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</si>
  <si>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</si>
  <si>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</si>
  <si>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</si>
  <si>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</si>
  <si>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</si>
  <si>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</si>
  <si>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</si>
  <si>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</si>
  <si>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</si>
  <si>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</si>
  <si>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</si>
  <si>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</si>
  <si>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</si>
  <si>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</si>
  <si>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</si>
  <si>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</si>
  <si>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</si>
  <si>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</si>
  <si>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</si>
  <si>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</si>
  <si>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</si>
  <si>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</si>
  <si>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</si>
  <si>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</si>
  <si>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</si>
  <si>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</si>
  <si>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</si>
  <si>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</si>
  <si>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</si>
  <si>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</si>
  <si>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</si>
  <si>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</si>
  <si>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</si>
  <si>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</si>
  <si>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</si>
  <si>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</si>
  <si>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</si>
  <si>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</si>
  <si>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</si>
  <si>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</si>
  <si>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</si>
  <si>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</si>
  <si>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</si>
  <si>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</si>
  <si>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</si>
  <si>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</si>
  <si>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</si>
  <si>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</si>
  <si>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</si>
  <si>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</si>
  <si>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</si>
  <si>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</si>
  <si>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</si>
  <si>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</si>
  <si>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</si>
  <si>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</si>
  <si>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</si>
  <si>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</si>
  <si>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</si>
  <si>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</si>
  <si>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</si>
  <si>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</si>
  <si>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</si>
  <si>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</si>
  <si>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</si>
  <si>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</si>
  <si>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</si>
  <si>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</si>
  <si>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</si>
  <si>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</si>
  <si>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</si>
  <si>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</si>
  <si>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</si>
  <si>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</si>
  <si>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</si>
  <si>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</si>
  <si>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</si>
  <si>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</si>
  <si>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</si>
  <si>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</si>
  <si>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</si>
  <si>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</si>
  <si>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</si>
  <si>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</si>
  <si>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</si>
  <si>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</si>
  <si>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</si>
  <si>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</si>
  <si>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</si>
  <si>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</si>
  <si>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</si>
  <si>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</si>
  <si>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</si>
  <si>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</si>
  <si>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</si>
  <si>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</si>
  <si>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</si>
  <si>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</si>
  <si>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</si>
  <si>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</si>
  <si>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</si>
  <si>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</si>
  <si>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</si>
  <si>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</si>
  <si>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</si>
  <si>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</si>
  <si>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</si>
  <si>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</si>
  <si>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</si>
  <si>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</si>
  <si>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</si>
  <si>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</si>
  <si>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</si>
  <si>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</si>
  <si>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</si>
  <si>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</si>
  <si>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</si>
  <si>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</si>
  <si>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</si>
  <si>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</si>
  <si>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</si>
  <si>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</si>
  <si>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</si>
  <si>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</si>
  <si>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</si>
  <si>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</si>
  <si>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</si>
  <si>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</si>
  <si>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</si>
  <si>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</si>
  <si>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</si>
  <si>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</si>
  <si>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</si>
  <si>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</si>
  <si>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</si>
  <si>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</si>
  <si>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</si>
  <si>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</si>
  <si>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</si>
  <si>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</si>
  <si>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</si>
  <si>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</si>
  <si>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</si>
  <si>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</si>
  <si>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</si>
  <si>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</si>
  <si>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</si>
  <si>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</si>
  <si>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</si>
  <si>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</si>
  <si>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</si>
  <si>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</si>
  <si>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</si>
  <si>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</si>
  <si>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</si>
  <si>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</si>
  <si>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</si>
  <si>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</si>
  <si>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</si>
  <si>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</si>
  <si>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</si>
  <si>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</si>
  <si>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</si>
  <si>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</si>
  <si>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</si>
  <si>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</si>
  <si>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</si>
  <si>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</si>
  <si>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</si>
  <si>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</si>
  <si>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</si>
  <si>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</si>
  <si>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</si>
  <si>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</si>
  <si>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</si>
  <si>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</si>
  <si>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</si>
  <si>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</si>
  <si>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</si>
  <si>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</si>
  <si>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</si>
  <si>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</si>
  <si>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</si>
  <si>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</si>
  <si>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</si>
  <si>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</si>
  <si>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</si>
  <si>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</si>
  <si>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</si>
  <si>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</si>
  <si>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</si>
  <si>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</si>
  <si>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</si>
  <si>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</si>
  <si>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</si>
  <si>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</si>
  <si>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</si>
  <si>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</si>
  <si>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</si>
  <si>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</si>
  <si>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</si>
  <si>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</si>
  <si>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</si>
  <si>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</si>
  <si>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</si>
  <si>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</si>
  <si>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</si>
  <si>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</si>
  <si>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</si>
  <si>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</si>
  <si>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</si>
  <si>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</si>
  <si>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</si>
  <si>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</si>
  <si>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</si>
  <si>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</si>
  <si>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</si>
  <si>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</si>
  <si>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</si>
  <si>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</si>
  <si>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</si>
  <si>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</si>
  <si>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</si>
  <si>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</si>
  <si>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</si>
  <si>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</si>
  <si>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</si>
  <si>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</si>
  <si>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</si>
  <si>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\nFirst, performance management practices are often obsolete.\nSecond, PM is time consuming.\nThird, performance reviews are too narrow.</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</si>
  <si>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</si>
  <si>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</si>
  <si>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\nCoaching</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</si>
  <si>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</si>
  <si>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</si>
  <si>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</si>
  <si>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</si>
  <si>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</si>
  <si>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</si>
  <si>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</si>
  <si>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</si>
  <si>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</si>
  <si>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</si>
  <si>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</si>
  <si>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</si>
  <si>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</si>
  <si>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</si>
  <si>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</si>
  <si>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</si>
  <si>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</si>
  <si>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</si>
  <si>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</si>
  <si>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</si>
  <si>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</si>
  <si>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</si>
  <si>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</si>
  <si>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</si>
  <si>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</si>
  <si>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</si>
  <si>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</si>
  <si>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</si>
  <si>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</si>
  <si>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</si>
  <si>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</si>
  <si>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</si>
  <si>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</si>
  <si>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</si>
  <si>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</si>
  <si>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</si>
  <si>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</si>
  <si>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</si>
  <si>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</si>
  <si>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</si>
  <si>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</si>
  <si>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</si>
  <si>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</si>
  <si>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</si>
  <si>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</si>
  <si>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</si>
  <si>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</si>
  <si>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</si>
  <si>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</si>
  <si>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 xml:space="preserve"> &lt;p class='space'&gt;(a single attribute or some combination of attributes), which uniquely identifies each entity instance. function of the primary key is to guarantee entity integrity, not to “describe” the entity</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</si>
  <si>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</si>
  <si>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</si>
  <si>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</si>
  <si>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</si>
  <si>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</si>
  <si>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</si>
  <si>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</si>
  <si>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</si>
  <si>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</si>
  <si>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</si>
  <si>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</si>
  <si>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</si>
  <si>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</si>
  <si>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</si>
  <si>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</si>
  <si>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</si>
  <si>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</si>
  <si>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</si>
  <si>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</si>
  <si>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</si>
  <si>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</si>
  <si>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</si>
  <si>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</si>
  <si>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</si>
  <si>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</si>
  <si>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</si>
  <si>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</si>
  <si>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</si>
  <si>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</si>
  <si>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</si>
  <si>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</si>
  <si>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</si>
  <si>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</si>
  <si>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</si>
  <si>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</si>
  <si>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</si>
  <si>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</si>
  <si>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</si>
  <si>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</si>
  <si>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</si>
  <si>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</si>
  <si>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</si>
  <si>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</si>
  <si>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</si>
  <si>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</si>
  <si>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</si>
  <si>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</si>
  <si>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</si>
  <si>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</si>
  <si>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</si>
  <si>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</si>
  <si>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</si>
  <si>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</si>
  <si>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</si>
  <si>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</si>
  <si>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</si>
  <si>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</si>
  <si>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</si>
  <si>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</si>
  <si>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</si>
  <si>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</si>
  <si>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</si>
  <si>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</si>
  <si>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</si>
  <si>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</si>
  <si>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</si>
  <si>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</si>
  <si>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</si>
  <si>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</si>
  <si>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</si>
  <si>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</si>
  <si>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</si>
  <si>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</si>
  <si>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</si>
  <si>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</si>
  <si>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</si>
  <si>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</si>
  <si>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</si>
  <si>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</si>
  <si>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</si>
  <si>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</si>
  <si>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</si>
  <si>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</si>
  <si>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</si>
  <si>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</si>
  <si>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</si>
  <si>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</si>
  <si>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</si>
  <si>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</si>
  <si>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class='space'&gt;Basically, a Candidate Key is a Super Key from which no more Attribute can be pruned.&lt;p class='space'&gt;A Super Key identifies uniquely rows/tuples in a table/relation of a database.</t>
  </si>
  <si>
    <t>&lt;p class='space'&gt;A secondary index is a data structure that contains a subset of attributes from a table, along with an alternate key to support Query operations.&lt;p class='space'&gt;You can retrieve data from the index using a Query, in much the same way as you use Query with a table.</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</si>
  <si>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</si>
  <si>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</si>
  <si>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</si>
  <si>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</si>
  <si>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</si>
  <si>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</si>
  <si>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</si>
  <si>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</si>
  <si>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</si>
  <si>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</si>
  <si>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</si>
  <si>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</si>
  <si>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</si>
  <si>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</si>
  <si>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</si>
  <si>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</si>
  <si>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</si>
  <si>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</si>
  <si>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</si>
  <si>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class='space'&gt;Update anomalies, Insertion anomalies, and Deletion anomalies.&lt;p class='space'&gt;They can be eliminated by adequately normalizing the database.</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</si>
  <si>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</si>
  <si>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</si>
  <si>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</si>
  <si>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</si>
  <si>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</si>
  <si>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</si>
  <si>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</si>
  <si>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</si>
  <si>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</si>
  <si>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</si>
  <si>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</si>
  <si>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</si>
  <si>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</si>
  <si>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</si>
  <si>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</si>
  <si>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</si>
  <si>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</si>
  <si>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</si>
  <si>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</si>
  <si>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</si>
  <si>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</si>
  <si>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</si>
  <si>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</si>
  <si>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</si>
  <si>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</si>
  <si>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</si>
  <si>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</si>
  <si>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</si>
  <si>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</si>
  <si>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</si>
  <si>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</si>
  <si>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</si>
  <si>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</si>
  <si>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</si>
  <si>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</si>
  <si>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</si>
  <si>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</si>
  <si>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</si>
  <si>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</si>
  <si>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</si>
  <si>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</si>
  <si>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</si>
  <si>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</si>
  <si>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</si>
  <si>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</si>
  <si>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</si>
  <si>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</si>
  <si>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</si>
  <si>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</si>
  <si>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</si>
  <si>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</si>
  <si>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</si>
  <si>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</si>
  <si>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</si>
  <si>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</si>
  <si>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</si>
  <si>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</si>
  <si>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</si>
  <si>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</si>
  <si>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</si>
  <si>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</si>
  <si>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</si>
  <si>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</si>
  <si>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</si>
  <si>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</si>
  <si>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</si>
  <si>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</si>
  <si>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</si>
  <si>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</si>
  <si>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</si>
  <si>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</si>
  <si>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</si>
  <si>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</si>
  <si>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</si>
  <si>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</si>
  <si>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</si>
  <si>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</si>
  <si>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</si>
  <si>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</si>
  <si>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</si>
  <si>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</si>
  <si>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</si>
  <si>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</si>
  <si>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</si>
  <si>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</si>
  <si>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</si>
  <si>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</si>
  <si>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</si>
  <si>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</si>
  <si>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</si>
  <si>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</si>
  <si>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</si>
  <si>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</si>
  <si>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</si>
  <si>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</si>
  <si>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</si>
  <si>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</si>
  <si>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</si>
  <si>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</si>
  <si>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</si>
  <si>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</si>
  <si>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</si>
  <si>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</si>
  <si>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</si>
  <si>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</si>
  <si>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</si>
  <si>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</si>
  <si>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</si>
  <si>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</si>
  <si>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</si>
  <si>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</si>
  <si>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</si>
  <si>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Explain the following relationships: Unary</t>
  </si>
  <si>
    <t>Explain the following relationships: Binary</t>
  </si>
  <si>
    <t>Explain the following relationships: Ternary</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</si>
  <si>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</si>
  <si>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</si>
  <si>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</si>
  <si>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</si>
  <si>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</si>
  <si>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</si>
  <si>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</si>
  <si>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</si>
  <si>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class='space'&gt;Update anomalies, Insertion anomalies, and Deletion anomalies. &lt;p class='space'&gt;They can be eliminated by adequately normalizing the database.</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</si>
  <si>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</si>
  <si>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</si>
  <si>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</si>
  <si>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</si>
  <si>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</si>
  <si>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</si>
  <si>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</si>
  <si>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</si>
  <si>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</si>
  <si>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</si>
  <si>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</si>
  <si>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</si>
  <si>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</si>
  <si>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</si>
  <si>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</si>
  <si>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</si>
  <si>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</si>
  <si>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</si>
  <si>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</si>
  <si>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</si>
  <si>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</si>
  <si>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</si>
  <si>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</si>
  <si>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</si>
  <si>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</si>
  <si>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</si>
  <si>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</si>
  <si>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</si>
  <si>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</si>
  <si>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</si>
  <si>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</si>
  <si>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</si>
  <si>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</si>
  <si>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</si>
  <si>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</si>
  <si>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</si>
  <si>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</si>
  <si>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</si>
  <si>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</si>
  <si>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</si>
  <si>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</si>
  <si>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class='space'&gt;A data model is a relatively simple representation, usually graphical, of more complex real-world data structures. &lt;p class='space'&gt;a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</si>
  <si>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</si>
  <si>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</si>
  <si>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</si>
  <si>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</si>
  <si>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</si>
  <si>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</si>
  <si>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</si>
  <si>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</si>
  <si>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Purpose of ERD:</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</si>
  <si>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</si>
  <si>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</si>
  <si>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</si>
  <si>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</si>
  <si>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class='space'&gt;The property of a relational table that guarantees each entity has &lt;p class='space'&gt;(1)a unique value in a primary key and that &lt;p class='space'&gt;(2)the key has no null values.</t>
  </si>
  <si>
    <t>&lt;p class='space'&gt;A condition by which a dependent table’s foreign key must have &lt;p class='space'&gt;(1)either a null entry or &lt;p class='space'&gt;(2)a matching entry in the related table.</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</si>
  <si>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</si>
  <si>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</si>
  <si>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</si>
  <si>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</si>
  <si>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</si>
  <si>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</si>
  <si>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</si>
  <si>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</si>
  <si>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</si>
  <si>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</si>
  <si>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</si>
  <si>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</si>
  <si>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</si>
  <si>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</si>
  <si>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</si>
  <si>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</si>
  <si>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</si>
  <si>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</si>
  <si>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</si>
  <si>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</si>
  <si>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</si>
  <si>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</si>
  <si>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</si>
  <si>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</si>
  <si>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</si>
  <si>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</si>
  <si>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class='space'&gt;the ERD is used for communication between designers and end users.</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</si>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</sst>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195"/>
  <sheetViews>
    <sheetView topLeftCell="B1" zoomScale="110" zoomScaleNormal="110" workbookViewId="0">
      <pane ySplit="1" topLeftCell="A189" activePane="bottomLeft" state="frozen"/>
      <selection pane="bottomLeft" sqref="A1:D195"/>
    </sheetView>
  </sheetViews>
  <sheetFormatPr defaultRowHeight="15" x14ac:dyDescent="0.25"/>
  <cols>
    <col min="1" max="1" width="61.28515625" style="3" customWidth="1"/>
    <col min="2" max="2" width="68" style="3" customWidth="1"/>
    <col min="3" max="3" width="21.28515625" style="3" customWidth="1"/>
    <col min="4" max="4" width="65.28515625" style="3" customWidth="1"/>
    <col min="5" max="16384" width="9.140625" style="3"/>
  </cols>
  <sheetData>
    <row r="1" spans="1:4" x14ac:dyDescent="0.25">
      <c r="A1" s="2" t="s">
        <v>77</v>
      </c>
      <c r="B1" s="3" t="s">
        <v>129</v>
      </c>
      <c r="C1" s="3" t="s">
        <v>78</v>
      </c>
      <c r="D1" s="3" t="s">
        <v>119</v>
      </c>
    </row>
    <row r="2" spans="1:4" x14ac:dyDescent="0.25">
      <c r="A2" s="3" t="s">
        <v>67</v>
      </c>
      <c r="B2" s="3" t="s">
        <v>197</v>
      </c>
      <c r="C2" s="3" t="s">
        <v>118</v>
      </c>
      <c r="D2" s="3" t="str">
        <f t="shared" ref="D2:D33" si="0">"[`" &amp; A2 &amp; "`,``,``,``,``, ``,`"  &amp; B2 &amp; "`, `" &amp; C2 &amp; "`]" &amp; IF(C3&lt;&gt;"",",","")</f>
        <v>[`What is Organizational behavior?`,``,``,``,``, ``,`&lt;p class='space'&gt;the study of individual behavior and group dynamics in organizations`, `HRM360-ch1`],</v>
      </c>
    </row>
    <row r="3" spans="1:4" ht="120"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152</v>
      </c>
      <c r="B34" s="3" t="s">
        <v>238</v>
      </c>
      <c r="C34" s="3" t="s">
        <v>131</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152</v>
      </c>
      <c r="B35" s="3" t="s">
        <v>239</v>
      </c>
      <c r="C35" s="3" t="s">
        <v>131</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266</v>
      </c>
      <c r="B36" s="3" t="s">
        <v>268</v>
      </c>
      <c r="C36" s="3" t="s">
        <v>131</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153</v>
      </c>
      <c r="B37" s="3" t="s">
        <v>240</v>
      </c>
      <c r="C37" s="3" t="s">
        <v>131</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154</v>
      </c>
      <c r="B38" s="3" t="s">
        <v>241</v>
      </c>
      <c r="C38" s="3" t="s">
        <v>131</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x14ac:dyDescent="0.25">
      <c r="A39" s="3" t="s">
        <v>155</v>
      </c>
      <c r="B39" s="5" t="s">
        <v>328</v>
      </c>
      <c r="C39" s="3" t="s">
        <v>131</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x14ac:dyDescent="0.25">
      <c r="A40" s="3" t="s">
        <v>156</v>
      </c>
      <c r="B40" s="5" t="s">
        <v>242</v>
      </c>
      <c r="C40" s="3" t="s">
        <v>131</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x14ac:dyDescent="0.25">
      <c r="A41" s="5" t="s">
        <v>158</v>
      </c>
      <c r="B41" s="5" t="s">
        <v>243</v>
      </c>
      <c r="C41" s="3" t="s">
        <v>131</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x14ac:dyDescent="0.25">
      <c r="A42" s="3" t="s">
        <v>157</v>
      </c>
      <c r="B42" s="5" t="s">
        <v>329</v>
      </c>
      <c r="C42" s="3" t="s">
        <v>131</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x14ac:dyDescent="0.25">
      <c r="A43" s="3" t="s">
        <v>159</v>
      </c>
      <c r="B43" s="5" t="s">
        <v>281</v>
      </c>
      <c r="C43" s="3" t="s">
        <v>131</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269</v>
      </c>
      <c r="B44" s="3" t="s">
        <v>244</v>
      </c>
      <c r="C44" s="3" t="s">
        <v>131</v>
      </c>
      <c r="D44" s="3" t="str">
        <f t="shared" si="1"/>
        <v>[`Value wheel - what are the four poles? (key info)`,``,``,``,``, ``,`&lt;p class='space'&gt;Self-transcendence - Self-Enhancement&lt;p class='space'&gt;Openness to Change - Conservation`, `HRM360-ch2`],</v>
      </c>
    </row>
    <row r="45" spans="1:4" x14ac:dyDescent="0.25">
      <c r="A45" s="3" t="s">
        <v>160</v>
      </c>
      <c r="B45" s="3" t="s">
        <v>245</v>
      </c>
      <c r="C45" s="3" t="s">
        <v>131</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161</v>
      </c>
      <c r="B46" s="3" t="s">
        <v>246</v>
      </c>
      <c r="C46" s="3" t="s">
        <v>131</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x14ac:dyDescent="0.25">
      <c r="A47" s="3" t="s">
        <v>169</v>
      </c>
      <c r="B47" s="5" t="s">
        <v>247</v>
      </c>
      <c r="C47" s="3" t="s">
        <v>131</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170</v>
      </c>
      <c r="B48" s="3" t="s">
        <v>248</v>
      </c>
      <c r="C48" s="3" t="s">
        <v>131</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x14ac:dyDescent="0.25">
      <c r="A49" s="3" t="s">
        <v>162</v>
      </c>
      <c r="B49" s="5" t="s">
        <v>282</v>
      </c>
      <c r="C49" s="3" t="s">
        <v>131</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x14ac:dyDescent="0.25">
      <c r="A50" s="3" t="s">
        <v>163</v>
      </c>
      <c r="B50" s="5" t="s">
        <v>283</v>
      </c>
      <c r="C50" s="3" t="s">
        <v>131</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164</v>
      </c>
      <c r="B51" s="3" t="s">
        <v>284</v>
      </c>
      <c r="C51" s="3" t="s">
        <v>131</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x14ac:dyDescent="0.25">
      <c r="A52" s="3" t="s">
        <v>165</v>
      </c>
      <c r="B52" s="5" t="s">
        <v>285</v>
      </c>
      <c r="C52" s="3" t="s">
        <v>131</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x14ac:dyDescent="0.25">
      <c r="A53" s="3" t="s">
        <v>166</v>
      </c>
      <c r="B53" s="5" t="s">
        <v>286</v>
      </c>
      <c r="C53" s="3" t="s">
        <v>131</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x14ac:dyDescent="0.25">
      <c r="A54" s="3" t="s">
        <v>167</v>
      </c>
      <c r="B54" s="5" t="s">
        <v>287</v>
      </c>
      <c r="C54" s="3" t="s">
        <v>131</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x14ac:dyDescent="0.25">
      <c r="A55" s="3" t="s">
        <v>168</v>
      </c>
      <c r="B55" s="5" t="s">
        <v>288</v>
      </c>
      <c r="C55" s="3" t="s">
        <v>131</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171</v>
      </c>
      <c r="B56" s="3" t="s">
        <v>270</v>
      </c>
      <c r="C56" s="3" t="s">
        <v>131</v>
      </c>
      <c r="D56" s="3" t="str">
        <f t="shared" si="1"/>
        <v>[`Attitudes are?`,``,``,``,``, ``,`&lt;p class='space'&gt;Diet values, psychological tendencies, fleeting changes`, `HRM360-ch2`],</v>
      </c>
    </row>
    <row r="57" spans="1:4" x14ac:dyDescent="0.25">
      <c r="A57" s="3" t="s">
        <v>172</v>
      </c>
      <c r="B57" s="3" t="s">
        <v>330</v>
      </c>
      <c r="C57" s="3" t="s">
        <v>131</v>
      </c>
      <c r="D57" s="3" t="str">
        <f t="shared" si="1"/>
        <v>[`Job satisfaction strongly correlates with turnover`,``,``,``,``, ``,`&lt;p class='space'&gt;Negatively with turnover, the more satisfied someone is with their job the lower the tendency to quit job.`, `HRM360-ch2`],</v>
      </c>
    </row>
    <row r="58" spans="1:4" ht="120" x14ac:dyDescent="0.25">
      <c r="A58" s="3" t="s">
        <v>186</v>
      </c>
      <c r="B58" s="5" t="s">
        <v>249</v>
      </c>
      <c r="C58" s="3" t="s">
        <v>131</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x14ac:dyDescent="0.25">
      <c r="A59" s="3" t="s">
        <v>187</v>
      </c>
      <c r="B59" s="5" t="s">
        <v>289</v>
      </c>
      <c r="C59" s="3" t="s">
        <v>131</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x14ac:dyDescent="0.25">
      <c r="A60" s="3" t="s">
        <v>188</v>
      </c>
      <c r="B60" s="5" t="s">
        <v>250</v>
      </c>
      <c r="C60" s="3" t="s">
        <v>131</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173</v>
      </c>
      <c r="B61" s="3" t="s">
        <v>251</v>
      </c>
      <c r="C61" s="3" t="s">
        <v>131</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174</v>
      </c>
      <c r="B62" s="3" t="s">
        <v>252</v>
      </c>
      <c r="C62" s="3" t="s">
        <v>131</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271</v>
      </c>
      <c r="B63" s="3" t="s">
        <v>253</v>
      </c>
      <c r="C63" s="3" t="s">
        <v>131</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175</v>
      </c>
      <c r="B64" s="3" t="s">
        <v>254</v>
      </c>
      <c r="C64" s="3" t="s">
        <v>131</v>
      </c>
      <c r="D64" s="3" t="str">
        <f t="shared" si="1"/>
        <v>[`Cognitive dissonance`,``,``,``,``, ``,`&lt;p class='space'&gt;represents the psychological discomfort a person experiences when simultaneously holding two or more conflicting cognitions (ideas, beliefs, values, or emotions) .`, `HRM360-ch2`],</v>
      </c>
    </row>
    <row r="65" spans="1:4" x14ac:dyDescent="0.25">
      <c r="A65" s="3" t="s">
        <v>176</v>
      </c>
      <c r="B65" s="3" t="s">
        <v>273</v>
      </c>
      <c r="C65" s="3" t="s">
        <v>131</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177</v>
      </c>
      <c r="B66" s="3" t="s">
        <v>290</v>
      </c>
      <c r="C66" s="3" t="s">
        <v>131</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178</v>
      </c>
      <c r="B67" s="3" t="s">
        <v>255</v>
      </c>
      <c r="C67" s="3" t="s">
        <v>131</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179</v>
      </c>
      <c r="B68" s="3" t="s">
        <v>274</v>
      </c>
      <c r="C68" s="3" t="s">
        <v>131</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180</v>
      </c>
      <c r="B69" s="3" t="s">
        <v>275</v>
      </c>
      <c r="C69" s="3" t="s">
        <v>131</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181</v>
      </c>
      <c r="B70" s="3" t="s">
        <v>256</v>
      </c>
      <c r="C70" s="3" t="s">
        <v>131</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x14ac:dyDescent="0.25">
      <c r="A71" s="10" t="s">
        <v>276</v>
      </c>
      <c r="B71" s="5" t="s">
        <v>272</v>
      </c>
      <c r="C71" s="3" t="s">
        <v>131</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x14ac:dyDescent="0.25">
      <c r="A72" s="3" t="s">
        <v>182</v>
      </c>
      <c r="B72" s="5" t="s">
        <v>257</v>
      </c>
      <c r="C72" s="3" t="s">
        <v>131</v>
      </c>
      <c r="D72" s="3" t="str">
        <f t="shared" si="2"/>
        <v>[`What Contributes to Employee Engagement? Two Factors:`,``,``,``,``, ``,`&lt;p class='space'&gt;Person Factors&lt;p class='space'&gt;Situation Factors  `, `HRM360-ch2`],</v>
      </c>
    </row>
    <row r="73" spans="1:4" ht="30" x14ac:dyDescent="0.25">
      <c r="A73" s="3" t="s">
        <v>183</v>
      </c>
      <c r="B73" s="5" t="s">
        <v>258</v>
      </c>
      <c r="C73" s="3" t="s">
        <v>131</v>
      </c>
      <c r="D73" s="3" t="str">
        <f t="shared" si="2"/>
        <v>[`What Contributes to Employee Engagement? Person factors`,``,``,``,``, ``,`&lt;p class='space'&gt;Personality.&lt;p class='space'&gt;Positive psychological capital.&lt;p class='space'&gt;Human and social capital. `, `HRM360-ch2`],</v>
      </c>
    </row>
    <row r="74" spans="1:4" ht="150" x14ac:dyDescent="0.25">
      <c r="A74" s="5" t="s">
        <v>189</v>
      </c>
      <c r="B74" s="5" t="s">
        <v>259</v>
      </c>
      <c r="C74" s="3" t="s">
        <v>131</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x14ac:dyDescent="0.25">
      <c r="A75" s="3" t="s">
        <v>184</v>
      </c>
      <c r="B75" s="5" t="s">
        <v>260</v>
      </c>
      <c r="C75" s="3" t="s">
        <v>131</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185</v>
      </c>
      <c r="B76" s="3" t="s">
        <v>261</v>
      </c>
      <c r="C76" s="3" t="s">
        <v>131</v>
      </c>
      <c r="D76" s="3" t="str">
        <f t="shared" si="2"/>
        <v>[`Five Predominant Models of Job Satisfaction`,``,``,``,``, ``,`&lt;p class='space'&gt;(1) Need Fulfillment.&lt;p class='space'&gt;(2) Met Expectations.&lt;p class='space'&gt;(3) Value Attainment.&lt;p class='space'&gt;(4) Equity.`, `HRM360-ch2`],</v>
      </c>
    </row>
    <row r="77" spans="1:4" x14ac:dyDescent="0.25">
      <c r="A77" s="3" t="s">
        <v>277</v>
      </c>
      <c r="B77" s="3" t="s">
        <v>262</v>
      </c>
      <c r="C77" s="3" t="s">
        <v>131</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278</v>
      </c>
      <c r="B78" s="3" t="s">
        <v>291</v>
      </c>
      <c r="C78" s="3" t="s">
        <v>131</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279</v>
      </c>
      <c r="B79" s="3" t="s">
        <v>292</v>
      </c>
      <c r="C79" s="3" t="s">
        <v>131</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280</v>
      </c>
      <c r="B80" s="3" t="s">
        <v>293</v>
      </c>
      <c r="C80" s="3" t="s">
        <v>131</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295</v>
      </c>
      <c r="B81" s="3" t="s">
        <v>296</v>
      </c>
      <c r="C81" s="3" t="s">
        <v>294</v>
      </c>
      <c r="D81" s="3" t="str">
        <f t="shared" si="2"/>
        <v>[`Traits`,``,``,``,``, ``,`Facets of you that allow your behaviors to be predicted- in weak situations. `, `HRM360-ch3`],</v>
      </c>
    </row>
    <row r="82" spans="1:4" x14ac:dyDescent="0.25">
      <c r="A82" s="3" t="s">
        <v>299</v>
      </c>
      <c r="B82" s="3" t="s">
        <v>303</v>
      </c>
      <c r="C82" s="3" t="s">
        <v>294</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297</v>
      </c>
      <c r="B83" s="3" t="s">
        <v>331</v>
      </c>
      <c r="C83" s="3" t="s">
        <v>294</v>
      </c>
      <c r="D83" s="3" t="str">
        <f t="shared" si="2"/>
        <v>[`Emotions`,``,``,``,``, ``,`&lt;p class='space'&gt;happen suddenly - affect your ability to focus. Dissipate quickly.`, `HRM360-ch3`],</v>
      </c>
    </row>
    <row r="84" spans="1:4" x14ac:dyDescent="0.25">
      <c r="A84" s="3" t="s">
        <v>298</v>
      </c>
      <c r="B84" s="3" t="s">
        <v>304</v>
      </c>
      <c r="C84" s="3" t="s">
        <v>294</v>
      </c>
      <c r="D84" s="3" t="str">
        <f t="shared" si="2"/>
        <v>[`Moods`,``,``,``,``, ``,`&lt;p class='space'&gt;Lower key - slowly shape your thoughts all day.`, `HRM360-ch3`],</v>
      </c>
    </row>
    <row r="85" spans="1:4" ht="60" x14ac:dyDescent="0.25">
      <c r="A85" s="3" t="s">
        <v>300</v>
      </c>
      <c r="B85" s="5" t="s">
        <v>305</v>
      </c>
      <c r="C85" s="3" t="s">
        <v>294</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301</v>
      </c>
      <c r="B86" s="3" t="s">
        <v>332</v>
      </c>
      <c r="C86" s="3" t="s">
        <v>294</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333</v>
      </c>
      <c r="C87" s="3" t="s">
        <v>294</v>
      </c>
      <c r="D87" s="3" t="str">
        <f t="shared" si="2"/>
        <v>[`Affectivity original model`,``,``,``,``, ``,``, `HRM360-ch3`],</v>
      </c>
    </row>
    <row r="88" spans="1:4" ht="75" x14ac:dyDescent="0.25">
      <c r="A88" s="3" t="s">
        <v>302</v>
      </c>
      <c r="B88" s="5" t="s">
        <v>312</v>
      </c>
      <c r="C88" s="3" t="s">
        <v>294</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334</v>
      </c>
      <c r="B89" s="3" t="s">
        <v>306</v>
      </c>
      <c r="C89" s="3" t="s">
        <v>294</v>
      </c>
      <c r="D89" s="3" t="str">
        <f t="shared" si="2"/>
        <v>[`Positive/Negative Affectivity align with`,``,``,``,``, ``,`&lt;p class='space'&gt;Big five Neuroticism  and extroversion`, `HRM360-ch3`],</v>
      </c>
    </row>
    <row r="90" spans="1:4" x14ac:dyDescent="0.25">
      <c r="A90" s="3" t="s">
        <v>319</v>
      </c>
      <c r="B90" s="3" t="s">
        <v>335</v>
      </c>
      <c r="C90" s="3" t="s">
        <v>294</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307</v>
      </c>
      <c r="B91" s="3" t="s">
        <v>309</v>
      </c>
      <c r="C91" s="3" t="s">
        <v>294</v>
      </c>
      <c r="D91" s="3" t="str">
        <f t="shared" si="2"/>
        <v>[`Employee burnout more likely when one has:`,``,``,``,``, ``,`&lt;p class='space'&gt;High negative affectivity`, `HRM360-ch3`],</v>
      </c>
    </row>
    <row r="92" spans="1:4" x14ac:dyDescent="0.25">
      <c r="A92" s="3" t="s">
        <v>308</v>
      </c>
      <c r="B92" s="3" t="s">
        <v>310</v>
      </c>
      <c r="C92" s="3" t="s">
        <v>294</v>
      </c>
      <c r="D92" s="3" t="str">
        <f t="shared" si="2"/>
        <v>[`Least likely to burnout:`,``,``,``,``, ``,`&lt;p class='space'&gt;Low negative affectivity`, `HRM360-ch3`],</v>
      </c>
    </row>
    <row r="93" spans="1:4" ht="30" x14ac:dyDescent="0.25">
      <c r="A93" s="3" t="s">
        <v>313</v>
      </c>
      <c r="B93" s="5" t="s">
        <v>314</v>
      </c>
      <c r="C93" s="3" t="s">
        <v>294</v>
      </c>
      <c r="D93" s="3" t="str">
        <f t="shared" si="2"/>
        <v>[`Emotional Intelligence - four dimensions`,``,``,``,``, ``,`&lt;p class='space'&gt;Self-awareness&lt;p class='space'&gt;Self-management&lt;p class='space'&gt;Social awareness&lt;p class='space'&gt;Relationship management`, `HRM360-ch3`],</v>
      </c>
    </row>
    <row r="94" spans="1:4" ht="75" x14ac:dyDescent="0.25">
      <c r="A94" s="3" t="s">
        <v>311</v>
      </c>
      <c r="B94" s="5" t="s">
        <v>316</v>
      </c>
      <c r="C94" s="3" t="s">
        <v>294</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x14ac:dyDescent="0.25">
      <c r="A95" s="3" t="s">
        <v>315</v>
      </c>
      <c r="B95" s="5" t="s">
        <v>318</v>
      </c>
      <c r="C95" s="3" t="s">
        <v>294</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317</v>
      </c>
      <c r="B96" s="3" t="s">
        <v>336</v>
      </c>
      <c r="C96" s="3" t="s">
        <v>294</v>
      </c>
      <c r="D96" s="3" t="str">
        <f t="shared" si="2"/>
        <v>[`What has impact on job performance`,``,``,``,``, ``,`&lt;p class='space'&gt;Cognitive ability * .44&lt;p class='space'&gt;conscientiousness *.22&lt;p class='space'&gt;emotional stability * .00`, `HRM360-ch3`],</v>
      </c>
    </row>
    <row r="97" spans="1:4" x14ac:dyDescent="0.25">
      <c r="A97" s="3" t="s">
        <v>320</v>
      </c>
      <c r="B97" s="3" t="s">
        <v>351</v>
      </c>
      <c r="C97" s="3" t="s">
        <v>294</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321</v>
      </c>
      <c r="B98" s="3" t="s">
        <v>366</v>
      </c>
      <c r="C98" s="3" t="s">
        <v>294</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337</v>
      </c>
      <c r="B99" s="3" t="s">
        <v>352</v>
      </c>
      <c r="C99" s="3" t="s">
        <v>294</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353</v>
      </c>
      <c r="B100" s="3" t="s">
        <v>367</v>
      </c>
      <c r="C100" s="3" t="s">
        <v>294</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322</v>
      </c>
      <c r="B101" s="3" t="s">
        <v>368</v>
      </c>
      <c r="C101" s="3" t="s">
        <v>294</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x14ac:dyDescent="0.25">
      <c r="A102" s="3" t="s">
        <v>338</v>
      </c>
      <c r="B102" s="5" t="s">
        <v>343</v>
      </c>
      <c r="C102" s="3" t="s">
        <v>294</v>
      </c>
      <c r="D102" s="3" t="str">
        <f t="shared" si="3"/>
        <v>[`Locus of Control:`,``,``,``,``, ``,`&lt;p class='space'&gt;Locus of Control: Belief that the events in one’s life are mostly controlled either by oneself (internal) or by the situation or others (external) `, `HRM360-ch3`],</v>
      </c>
    </row>
    <row r="103" spans="1:4" ht="30" x14ac:dyDescent="0.25">
      <c r="A103" s="3" t="s">
        <v>339</v>
      </c>
      <c r="B103" s="5" t="s">
        <v>344</v>
      </c>
      <c r="C103" s="3" t="s">
        <v>294</v>
      </c>
      <c r="D103" s="3" t="str">
        <f t="shared" si="3"/>
        <v>[`CSE - core self-evaluation`,``,``,``,``, ``,`&lt;p class='space'&gt;A person’s core self-evaluation is the degree to which a person evaluates his/her self (or self-concept) positively&lt;p class='space'&gt; `, `HRM360-ch3`],</v>
      </c>
    </row>
    <row r="104" spans="1:4" ht="45" x14ac:dyDescent="0.25">
      <c r="A104" s="3" t="s">
        <v>340</v>
      </c>
      <c r="B104" s="5" t="s">
        <v>345</v>
      </c>
      <c r="C104" s="3" t="s">
        <v>294</v>
      </c>
      <c r="D104" s="3" t="str">
        <f t="shared" si="3"/>
        <v>[`Self-Esteem: `,``,``,``,``, ``,`&lt;p class='space'&gt;Self-Esteem: Overall feelings of self-worth; high self-esteem is associated with positive feelings and emphasizing strengths over weaknesses `, `HRM360-ch3`],</v>
      </c>
    </row>
    <row r="105" spans="1:4" x14ac:dyDescent="0.25">
      <c r="A105" s="3" t="s">
        <v>341</v>
      </c>
      <c r="B105" s="3" t="s">
        <v>346</v>
      </c>
      <c r="C105" s="3" t="s">
        <v>294</v>
      </c>
      <c r="D105" s="3" t="str">
        <f t="shared" si="3"/>
        <v>[`Self-Efficacy:`,``,``,``,``, ``,`&lt;p class='space'&gt;Self-Efficacy: Overall belief of how effectively one can perform, cope, or succeed in various situations`, `HRM360-ch3`],</v>
      </c>
    </row>
    <row r="106" spans="1:4" x14ac:dyDescent="0.25">
      <c r="A106" s="3" t="s">
        <v>342</v>
      </c>
      <c r="B106" s="3" t="s">
        <v>347</v>
      </c>
      <c r="C106" s="3" t="s">
        <v>294</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349</v>
      </c>
      <c r="B107" s="3" t="s">
        <v>350</v>
      </c>
      <c r="C107" s="3" t="s">
        <v>294</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354</v>
      </c>
      <c r="B108" s="3" t="s">
        <v>369</v>
      </c>
      <c r="C108" s="3" t="s">
        <v>294</v>
      </c>
      <c r="D108" s="3" t="str">
        <f t="shared" si="3"/>
        <v>[`“Ideal Employee” Personality`,``,``,``,``, ``,`&lt;p class='space'&gt;There Is No “Ideal Employee” Personality`, `HRM360-ch3`],</v>
      </c>
    </row>
    <row r="109" spans="1:4" x14ac:dyDescent="0.25">
      <c r="A109" s="3" t="s">
        <v>355</v>
      </c>
      <c r="B109" s="3" t="s">
        <v>356</v>
      </c>
      <c r="C109" s="3" t="s">
        <v>294</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357</v>
      </c>
      <c r="B110" s="3" t="s">
        <v>361</v>
      </c>
      <c r="C110" s="3" t="s">
        <v>294</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358</v>
      </c>
      <c r="B111" s="3" t="s">
        <v>362</v>
      </c>
      <c r="C111" s="3" t="s">
        <v>294</v>
      </c>
      <c r="D111" s="3" t="str">
        <f t="shared" si="3"/>
        <v>[`Core self-evaluations -  Self-esteem`,``,``,``,``, ``,`&lt;p class='space'&gt;Self-esteem is your general belief about your own self-worth. `, `HRM360-ch3`],</v>
      </c>
    </row>
    <row r="112" spans="1:4" x14ac:dyDescent="0.25">
      <c r="A112" s="3" t="s">
        <v>359</v>
      </c>
      <c r="B112" s="3" t="s">
        <v>363</v>
      </c>
      <c r="C112" s="3" t="s">
        <v>294</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360</v>
      </c>
      <c r="B113" s="3" t="s">
        <v>364</v>
      </c>
      <c r="C113" s="3" t="s">
        <v>294</v>
      </c>
      <c r="D113" s="3" t="str">
        <f t="shared" si="3"/>
        <v>[`Core self-evaluations - Emotional Stability`,``,``,``,``, ``,`&lt;p class='space'&gt; Individuals with high levels of emotional stability tend to be relaxed, secure, unworried, and less likely to experience negative emotions under pressure.`, `HRM360-ch3`],</v>
      </c>
    </row>
    <row r="114" spans="1:4" x14ac:dyDescent="0.25">
      <c r="A114" s="5" t="s">
        <v>378</v>
      </c>
      <c r="B114" s="3" t="s">
        <v>379</v>
      </c>
      <c r="C114" s="3" t="s">
        <v>294</v>
      </c>
      <c r="D114" s="3" t="str">
        <f t="shared" si="3"/>
        <v>[`Which Big 5 factors predict the following? Performance? `,``,``,``,``, ``,`&lt;p class='space'&gt;consciousness`, `HRM360-ch3`],</v>
      </c>
    </row>
    <row r="115" spans="1:4" x14ac:dyDescent="0.25">
      <c r="A115" s="5" t="s">
        <v>377</v>
      </c>
      <c r="B115" s="3" t="s">
        <v>379</v>
      </c>
      <c r="C115" s="3" t="s">
        <v>294</v>
      </c>
      <c r="D115" s="3" t="str">
        <f t="shared" si="3"/>
        <v>[`Which Big 5 factors predict the following? Occupational Success?`,``,``,``,``, ``,`&lt;p class='space'&gt;consciousness`, `HRM360-ch3`],</v>
      </c>
    </row>
    <row r="116" spans="1:4" ht="30" x14ac:dyDescent="0.25">
      <c r="A116" s="5" t="s">
        <v>376</v>
      </c>
      <c r="B116" s="3" t="s">
        <v>381</v>
      </c>
      <c r="C116" s="3" t="s">
        <v>294</v>
      </c>
      <c r="D116" s="3" t="str">
        <f t="shared" si="3"/>
        <v>[`Which Big 5 factors predict the following? Performance in social interactions?`,``,``,``,``, ``,`&lt;p class='space'&gt;extroversion`, `HRM360-ch3`],</v>
      </c>
    </row>
    <row r="117" spans="1:4" x14ac:dyDescent="0.25">
      <c r="A117" s="3" t="s">
        <v>390</v>
      </c>
      <c r="B117" s="3" t="s">
        <v>381</v>
      </c>
      <c r="C117" s="3" t="s">
        <v>294</v>
      </c>
      <c r="D117" s="3" t="str">
        <f t="shared" si="3"/>
        <v>[`Which Big 5 factors predict the following? Performance in customer service?`,``,``,``,``, ``,`&lt;p class='space'&gt;extroversion`, `HRM360-ch3`],</v>
      </c>
    </row>
    <row r="118" spans="1:4" x14ac:dyDescent="0.25">
      <c r="A118" s="3" t="s">
        <v>391</v>
      </c>
      <c r="B118" s="3" t="s">
        <v>380</v>
      </c>
      <c r="C118" s="3" t="s">
        <v>294</v>
      </c>
      <c r="D118" s="3" t="str">
        <f t="shared" si="3"/>
        <v>[`Which Big 5 factors predict the following? Team Performance?`,``,``,``,``, ``,`&lt;p class='space'&gt;consciousness  - agreeableness`, `HRM360-ch3`],</v>
      </c>
    </row>
    <row r="119" spans="1:4" x14ac:dyDescent="0.25">
      <c r="A119" s="3" t="s">
        <v>392</v>
      </c>
      <c r="B119" s="3" t="s">
        <v>393</v>
      </c>
      <c r="C119" s="3" t="s">
        <v>294</v>
      </c>
      <c r="D119" s="3" t="str">
        <f t="shared" si="3"/>
        <v>[`Which Big 5 factors predict the following? Emotional Support?`,``,``,``,``, ``,`&lt;p class='space'&gt; emotional stability - agreeableness`, `HRM360-ch3`],</v>
      </c>
    </row>
    <row r="120" spans="1:4" x14ac:dyDescent="0.25">
      <c r="A120" s="3" t="s">
        <v>394</v>
      </c>
      <c r="B120" s="3" t="s">
        <v>382</v>
      </c>
      <c r="C120" s="3" t="s">
        <v>294</v>
      </c>
      <c r="D120" s="3" t="str">
        <f t="shared" si="3"/>
        <v>[`Which Big 5 factors predict the following? Creativity or Innovation?`,``,``,``,``, ``,`&lt;p class='space'&gt;openness`, `HRM360-ch3`],</v>
      </c>
    </row>
    <row r="121" spans="1:4" x14ac:dyDescent="0.25">
      <c r="A121" s="3" t="s">
        <v>395</v>
      </c>
      <c r="B121" s="3" t="s">
        <v>383</v>
      </c>
      <c r="C121" s="3" t="s">
        <v>294</v>
      </c>
      <c r="D121" s="3" t="str">
        <f t="shared" si="3"/>
        <v>[`Which Big 5 factors predict the following? Helping Behavior?`,``,``,``,``, ``,`&lt;p class='space'&gt;agreeableness`, `HRM360-ch3`],</v>
      </c>
    </row>
    <row r="122" spans="1:4" x14ac:dyDescent="0.25">
      <c r="A122" s="3" t="s">
        <v>396</v>
      </c>
      <c r="B122" s="3" t="s">
        <v>384</v>
      </c>
      <c r="C122" s="3" t="s">
        <v>294</v>
      </c>
      <c r="D122" s="3" t="str">
        <f t="shared" si="3"/>
        <v>[`Which Big 5 factors predict the following? Burnout?`,``,``,``,``, ``,`&lt;p class='space'&gt;low emotional stability`, `HRM360-ch3`],</v>
      </c>
    </row>
    <row r="123" spans="1:4" x14ac:dyDescent="0.25">
      <c r="A123" s="3" t="s">
        <v>397</v>
      </c>
      <c r="B123" s="3" t="s">
        <v>385</v>
      </c>
      <c r="C123" s="3" t="s">
        <v>294</v>
      </c>
      <c r="D123" s="3" t="str">
        <f t="shared" si="3"/>
        <v>[`Which Big 5 factors predict the following? Transformational Leadership?`,``,``,``,``, ``,`&lt;p class='space'&gt;extroversion - agreeableness`, `HRM360-ch3`],</v>
      </c>
    </row>
    <row r="124" spans="1:4" ht="45" x14ac:dyDescent="0.25">
      <c r="A124" s="3" t="s">
        <v>348</v>
      </c>
      <c r="B124" s="5" t="s">
        <v>365</v>
      </c>
      <c r="C124" s="3" t="s">
        <v>370</v>
      </c>
      <c r="D124" s="3" t="str">
        <f t="shared" si="3"/>
        <v>[`Personality `,``,``,``,``, ``,`&lt;p class='space'&gt;Personality is the combination of stable physical, behavioral, and mental characteristics that gives individuals their unique identities. `, `HRM360-ch4`],</v>
      </c>
    </row>
    <row r="125" spans="1:4" x14ac:dyDescent="0.25">
      <c r="A125" s="3" t="s">
        <v>371</v>
      </c>
      <c r="B125" s="3" t="s">
        <v>374</v>
      </c>
      <c r="C125" s="3" t="s">
        <v>370</v>
      </c>
      <c r="D125" s="3" t="str">
        <f t="shared" si="3"/>
        <v>[`Two tendencies specific to emotions:`,``,``,``,``, ``,`&lt;p class='space'&gt;positive affectivity and negative affectivity&lt;p class='space'&gt;these are fundamental differences between people`, `HRM360-ch4`],</v>
      </c>
    </row>
    <row r="126" spans="1:4" x14ac:dyDescent="0.25">
      <c r="A126" s="3" t="s">
        <v>372</v>
      </c>
      <c r="B126" s="3" t="s">
        <v>437</v>
      </c>
      <c r="C126" s="3" t="s">
        <v>370</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373</v>
      </c>
      <c r="B127" s="3" t="s">
        <v>375</v>
      </c>
      <c r="C127" s="3" t="s">
        <v>370</v>
      </c>
      <c r="D127" s="3" t="str">
        <f t="shared" si="3"/>
        <v>[`High negative affectivity vs low is characterized by:`,``,``,``,``, ``,`&lt;p class='space'&gt;High Negative affectivity - rage irritable&lt;p class='space'&gt;low negative affectivity - serene calm`, `HRM360-ch4`],</v>
      </c>
    </row>
    <row r="128" spans="1:4" x14ac:dyDescent="0.25">
      <c r="A128" s="3" t="s">
        <v>438</v>
      </c>
      <c r="B128" s="3" t="s">
        <v>439</v>
      </c>
      <c r="C128" s="3" t="s">
        <v>370</v>
      </c>
      <c r="D128" s="3" t="str">
        <f t="shared" si="3"/>
        <v>[`How can one's emotional intelligence be altered.`,``,``,``,``, ``,`&lt;p class='space'&gt;EQ (emotional intelligence can be altered by putting one into situations that require the application of EQ. Repeated practice so to speak.`, `HRM360-ch4`],</v>
      </c>
    </row>
    <row r="129" spans="1:4" x14ac:dyDescent="0.25">
      <c r="A129" s="3" t="s">
        <v>386</v>
      </c>
      <c r="B129" s="3" t="s">
        <v>388</v>
      </c>
      <c r="C129" s="3" t="s">
        <v>370</v>
      </c>
      <c r="D129" s="3" t="str">
        <f t="shared" si="3"/>
        <v>[`Determining attitudes vs values which is easier `,``,``,``,``, ``,`&lt;p class='space'&gt;Attitudes are much easier to see`, `HRM360-ch4`],</v>
      </c>
    </row>
    <row r="130" spans="1:4" ht="75" x14ac:dyDescent="0.25">
      <c r="A130" s="5" t="s">
        <v>387</v>
      </c>
      <c r="B130" s="5" t="s">
        <v>389</v>
      </c>
      <c r="C130" s="3" t="s">
        <v>370</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398</v>
      </c>
      <c r="B131" s="3" t="s">
        <v>404</v>
      </c>
      <c r="C131" s="3" t="s">
        <v>370</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399</v>
      </c>
      <c r="B132" s="3" t="s">
        <v>402</v>
      </c>
      <c r="C132" s="3" t="s">
        <v>370</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400</v>
      </c>
      <c r="B133" s="3" t="s">
        <v>431</v>
      </c>
      <c r="C133" s="3" t="s">
        <v>370</v>
      </c>
      <c r="D133" s="3" t="str">
        <f t="shared" si="4"/>
        <v>[`Self-serving Bias`,``,``,``,``, ``,`&lt;p class='space'&gt;One's tendency to take credit for success and deny blame for failure`, `HRM360-ch4`],</v>
      </c>
    </row>
    <row r="134" spans="1:4" x14ac:dyDescent="0.25">
      <c r="A134" s="3" t="s">
        <v>401</v>
      </c>
      <c r="B134" s="3" t="s">
        <v>403</v>
      </c>
      <c r="C134" s="3" t="s">
        <v>370</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x14ac:dyDescent="0.25">
      <c r="A135" s="3" t="s">
        <v>405</v>
      </c>
      <c r="B135" s="5" t="s">
        <v>407</v>
      </c>
      <c r="C135" s="3" t="s">
        <v>370</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406</v>
      </c>
      <c r="B136" s="3" t="s">
        <v>408</v>
      </c>
      <c r="C136" s="3" t="s">
        <v>370</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x14ac:dyDescent="0.25">
      <c r="A137" s="3" t="s">
        <v>409</v>
      </c>
      <c r="B137" s="5" t="s">
        <v>414</v>
      </c>
      <c r="C137" s="3" t="s">
        <v>370</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x14ac:dyDescent="0.25">
      <c r="A138" s="5" t="s">
        <v>410</v>
      </c>
      <c r="B138" s="5" t="s">
        <v>415</v>
      </c>
      <c r="C138" s="3" t="s">
        <v>370</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x14ac:dyDescent="0.25">
      <c r="A139" s="3" t="s">
        <v>417</v>
      </c>
      <c r="B139" s="5" t="s">
        <v>411</v>
      </c>
      <c r="C139" s="3" t="s">
        <v>370</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x14ac:dyDescent="0.25">
      <c r="A140" s="3" t="s">
        <v>418</v>
      </c>
      <c r="B140" s="5" t="s">
        <v>412</v>
      </c>
      <c r="C140" s="3" t="s">
        <v>370</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x14ac:dyDescent="0.25">
      <c r="A141" s="3" t="s">
        <v>413</v>
      </c>
      <c r="B141" s="5" t="s">
        <v>416</v>
      </c>
      <c r="C141" s="3" t="s">
        <v>370</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420</v>
      </c>
      <c r="B142" s="3" t="s">
        <v>419</v>
      </c>
      <c r="C142" s="3" t="s">
        <v>370</v>
      </c>
      <c r="D142" s="3" t="str">
        <f t="shared" si="4"/>
        <v>[`Fundamental attribution error also:`,``,``,``,``, ``,`&lt;p class='space'&gt;Fundamental attribution error (a.k.a., the correspondence bias):`, `HRM360-ch4`],</v>
      </c>
    </row>
    <row r="143" spans="1:4" ht="105" x14ac:dyDescent="0.25">
      <c r="A143" s="3" t="s">
        <v>421</v>
      </c>
      <c r="B143" s="5" t="s">
        <v>444</v>
      </c>
      <c r="C143" s="3" t="s">
        <v>370</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422</v>
      </c>
      <c r="B144" s="3" t="s">
        <v>423</v>
      </c>
      <c r="C144" s="3" t="s">
        <v>370</v>
      </c>
      <c r="D144" s="3" t="str">
        <f t="shared" si="4"/>
        <v>[`Difference between self serving bias and attribution bias`,``,``,``,``, ``,`&lt;p class='space'&gt;self serving bias, why I failed&lt;p class='space'&gt;attribution bias, why someone else failed`, `HRM360-ch4`],</v>
      </c>
    </row>
    <row r="145" spans="1:4" x14ac:dyDescent="0.25">
      <c r="A145" s="3" t="s">
        <v>424</v>
      </c>
      <c r="B145" s="3" t="s">
        <v>440</v>
      </c>
      <c r="C145" s="3" t="s">
        <v>370</v>
      </c>
      <c r="D145" s="3" t="str">
        <f t="shared" si="4"/>
        <v>[`Inner locus of control `,``,``,``,``, ``,`&lt;p class='space'&gt;Individuals like this are more likely to accept responsivities for positives and negatives that happen to them.`, `HRM360-ch4`],</v>
      </c>
    </row>
    <row r="146" spans="1:4" x14ac:dyDescent="0.25">
      <c r="A146" s="3" t="s">
        <v>433</v>
      </c>
      <c r="B146" s="3" t="s">
        <v>441</v>
      </c>
      <c r="C146" s="3" t="s">
        <v>370</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x14ac:dyDescent="0.25">
      <c r="A147" s="3" t="s">
        <v>426</v>
      </c>
      <c r="B147" s="5" t="s">
        <v>425</v>
      </c>
      <c r="C147" s="3" t="s">
        <v>370</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427</v>
      </c>
      <c r="B148" s="3" t="s">
        <v>428</v>
      </c>
      <c r="C148" s="3" t="s">
        <v>370</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430</v>
      </c>
      <c r="B149" s="3" t="s">
        <v>429</v>
      </c>
      <c r="C149" s="3" t="s">
        <v>370</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434</v>
      </c>
      <c r="B150" s="3" t="s">
        <v>435</v>
      </c>
      <c r="C150" s="3" t="s">
        <v>370</v>
      </c>
      <c r="D150" s="3" t="str">
        <f t="shared" si="4"/>
        <v>[` Causal Attributions`,``,``,``,``, ``,`&lt;p class='space'&gt;Causal attributions are suspected or inferred causes of behavior. `, `HRM360-ch4`],</v>
      </c>
    </row>
    <row r="151" spans="1:4" x14ac:dyDescent="0.25">
      <c r="A151" s="3" t="s">
        <v>75</v>
      </c>
      <c r="B151" s="3" t="s">
        <v>199</v>
      </c>
      <c r="C151" s="3" t="s">
        <v>76</v>
      </c>
      <c r="D151" s="3" t="str">
        <f t="shared" si="4"/>
        <v>[`Extrinsic motivation`,``,``,``,``, ``,`&lt;p class='space'&gt;results from the potential or actual receipt of external rewards`, `HRM360-ch5`],</v>
      </c>
    </row>
    <row r="152" spans="1:4" x14ac:dyDescent="0.25">
      <c r="A152" s="3" t="s">
        <v>79</v>
      </c>
      <c r="B152" s="3" t="s">
        <v>200</v>
      </c>
      <c r="C152" s="3" t="s">
        <v>76</v>
      </c>
      <c r="D152" s="3" t="str">
        <f t="shared" si="4"/>
        <v>[`Intrinsic motivation `,``,``,``,``, ``,`&lt;p class='space'&gt;occurs when an individual is inspired by “the positive internal feelings that are generated by doing well,`, `HRM360-ch5`],</v>
      </c>
    </row>
    <row r="153" spans="1:4" x14ac:dyDescent="0.25">
      <c r="A153" s="3" t="s">
        <v>80</v>
      </c>
      <c r="B153" s="3" t="s">
        <v>201</v>
      </c>
      <c r="C153" s="3" t="s">
        <v>76</v>
      </c>
      <c r="D153"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81</v>
      </c>
      <c r="B154" s="3" t="s">
        <v>202</v>
      </c>
      <c r="C154" s="3" t="s">
        <v>76</v>
      </c>
      <c r="D154"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x14ac:dyDescent="0.25">
      <c r="A155" s="3" t="s">
        <v>82</v>
      </c>
      <c r="B155" s="5" t="s">
        <v>190</v>
      </c>
      <c r="C155" s="3" t="s">
        <v>76</v>
      </c>
      <c r="D155"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83</v>
      </c>
      <c r="B156" s="3" t="s">
        <v>195</v>
      </c>
      <c r="C156" s="3" t="s">
        <v>76</v>
      </c>
      <c r="D156"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84</v>
      </c>
      <c r="B157" s="3" t="s">
        <v>191</v>
      </c>
      <c r="C157" s="3" t="s">
        <v>76</v>
      </c>
      <c r="D157"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85</v>
      </c>
      <c r="B158" s="3" t="s">
        <v>203</v>
      </c>
      <c r="C158" s="3" t="s">
        <v>76</v>
      </c>
      <c r="D158" s="3" t="str">
        <f t="shared" si="4"/>
        <v>[`Maslow's need - Physiological`,``,``,``,``, ``,`&lt;p class='space'&gt;Most basic need - food, air, and water to survive`, `HRM360-ch5`],</v>
      </c>
    </row>
    <row r="159" spans="1:4" x14ac:dyDescent="0.25">
      <c r="A159" s="3" t="s">
        <v>86</v>
      </c>
      <c r="B159" s="3" t="s">
        <v>204</v>
      </c>
      <c r="C159" s="3" t="s">
        <v>76</v>
      </c>
      <c r="D159" s="3" t="str">
        <f t="shared" si="4"/>
        <v>[`Maslow's need - Safety`,``,``,``,``, ``,`&lt;p class='space'&gt;Safe from physical and psychological harm`, `HRM360-ch5`],</v>
      </c>
    </row>
    <row r="160" spans="1:4" x14ac:dyDescent="0.25">
      <c r="A160" s="3" t="s">
        <v>87</v>
      </c>
      <c r="B160" s="3" t="s">
        <v>323</v>
      </c>
      <c r="C160" s="3" t="s">
        <v>76</v>
      </c>
      <c r="D160" s="3" t="str">
        <f t="shared" si="4"/>
        <v>[`Maslow's need - love`,``,``,``,``, ``,`&lt;p class='space'&gt;desire to be loved and to love - needs for affection and belonging`, `HRM360-ch5`],</v>
      </c>
    </row>
    <row r="161" spans="1:4" x14ac:dyDescent="0.25">
      <c r="A161" s="3" t="s">
        <v>88</v>
      </c>
      <c r="B161" s="3" t="s">
        <v>324</v>
      </c>
      <c r="C161" s="3" t="s">
        <v>76</v>
      </c>
      <c r="D161" s="3" t="str">
        <f t="shared" si="4"/>
        <v>[`Maslow's need - Esteem`,``,``,``,``, ``,`&lt;p class='space'&gt;Need for reputation, prestige, and recognition from others. Included need for self-confidence and strength`, `HRM360-ch5`],</v>
      </c>
    </row>
    <row r="162" spans="1:4" x14ac:dyDescent="0.25">
      <c r="A162" s="3" t="s">
        <v>192</v>
      </c>
      <c r="B162" s="3" t="s">
        <v>205</v>
      </c>
      <c r="C162" s="3" t="s">
        <v>76</v>
      </c>
      <c r="D162" s="3" t="str">
        <f t="shared" ref="D162:D174" si="5">"[`" &amp; A162 &amp; "`,``,``,``,``, ``,`"  &amp; B162 &amp; "`, `" &amp; C162 &amp; "`]" &amp; IF(C163&lt;&gt;"",",","")</f>
        <v>[`Maslow's need - Self-Actualization`,``,``,``,``, ``,`&lt;p class='space'&gt;Desire for self fulfillment - to become the best one is capable of becoming.`, `HRM360-ch5`],</v>
      </c>
    </row>
    <row r="163" spans="1:4" x14ac:dyDescent="0.25">
      <c r="A163" s="3" t="s">
        <v>449</v>
      </c>
      <c r="B163" s="3" t="s">
        <v>325</v>
      </c>
      <c r="C163" s="3" t="s">
        <v>76</v>
      </c>
      <c r="D163"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326</v>
      </c>
      <c r="B164" s="3" t="s">
        <v>206</v>
      </c>
      <c r="C164" s="3" t="s">
        <v>76</v>
      </c>
      <c r="D164"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89</v>
      </c>
      <c r="B165" s="3" t="s">
        <v>207</v>
      </c>
      <c r="C165" s="3" t="s">
        <v>76</v>
      </c>
      <c r="D165"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90</v>
      </c>
      <c r="B166" s="3" t="s">
        <v>267</v>
      </c>
      <c r="C166" s="3" t="s">
        <v>76</v>
      </c>
      <c r="D166"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91</v>
      </c>
      <c r="B167" s="3" t="s">
        <v>208</v>
      </c>
      <c r="C167" s="3" t="s">
        <v>76</v>
      </c>
      <c r="D167" s="3" t="str">
        <f t="shared" si="5"/>
        <v>[`Need for affiliation.`,``,``,``,``, ``,`&lt;p class='space'&gt;Need for affiliation. People motivated by the need for affiliation like to work in teams and in organizational climates characterized as cooperative and collegial. `, `HRM360-ch5`],</v>
      </c>
    </row>
    <row r="168" spans="1:4" x14ac:dyDescent="0.25">
      <c r="A168" s="3" t="s">
        <v>92</v>
      </c>
      <c r="B168" s="3" t="s">
        <v>209</v>
      </c>
      <c r="C168" s="3" t="s">
        <v>76</v>
      </c>
      <c r="D168" s="3" t="str">
        <f t="shared" si="5"/>
        <v>[`Need for power.`,``,``,``,``, ``,`&lt;p class='space'&gt;Need for power. People with a high need for power like to be in charge. They enjoy coaching and helping others develop. `, `HRM360-ch5`],</v>
      </c>
    </row>
    <row r="169" spans="1:4" ht="120" x14ac:dyDescent="0.25">
      <c r="A169" s="3" t="s">
        <v>93</v>
      </c>
      <c r="B169" s="5" t="s">
        <v>210</v>
      </c>
      <c r="C169" s="3" t="s">
        <v>76</v>
      </c>
      <c r="D169"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94</v>
      </c>
      <c r="B170" s="3" t="s">
        <v>211</v>
      </c>
      <c r="C170" s="3" t="s">
        <v>76</v>
      </c>
      <c r="D170"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95</v>
      </c>
      <c r="B171" s="3" t="s">
        <v>212</v>
      </c>
      <c r="C171" s="3" t="s">
        <v>76</v>
      </c>
      <c r="D171"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96</v>
      </c>
      <c r="B172" s="3" t="s">
        <v>213</v>
      </c>
      <c r="C172" s="3" t="s">
        <v>76</v>
      </c>
      <c r="D172"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97</v>
      </c>
      <c r="B173" s="3" t="s">
        <v>214</v>
      </c>
      <c r="C173" s="3" t="s">
        <v>76</v>
      </c>
      <c r="D173"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432</v>
      </c>
      <c r="B174" s="3" t="s">
        <v>436</v>
      </c>
      <c r="C174" s="3" t="s">
        <v>370</v>
      </c>
      <c r="D174" s="3" t="str">
        <f t="shared" si="5"/>
        <v>[`Diversity`,``,``,``,``, ``,`&lt;p class='space'&gt;Diversity pertains to the host of individual differences that make each of us unique and different from all others.`, `HRM360-ch4`],</v>
      </c>
    </row>
    <row r="175" spans="1:4" x14ac:dyDescent="0.25">
      <c r="A175" s="3" t="s">
        <v>442</v>
      </c>
      <c r="C175" s="3" t="s">
        <v>76</v>
      </c>
      <c r="D175" s="3" t="str">
        <f t="shared" ref="D175:D185" si="6">"[`" &amp; A175 &amp; "`,``,``,``,``, ``,`"  &amp; B175 &amp; "`, `" &amp; C175 &amp; "`]" &amp; IF(C176&lt;&gt;"",",","")</f>
        <v>[`*Expectancy theory`,``,``,``,``, ``,``, `HRM360-ch5`],</v>
      </c>
    </row>
    <row r="176" spans="1:4" x14ac:dyDescent="0.25">
      <c r="A176" s="3" t="s">
        <v>443</v>
      </c>
      <c r="B176" s="3" t="s">
        <v>445</v>
      </c>
      <c r="C176" s="3" t="s">
        <v>76</v>
      </c>
      <c r="D176" s="3" t="str">
        <f t="shared" si="6"/>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x14ac:dyDescent="0.25">
      <c r="A177" s="3" t="s">
        <v>447</v>
      </c>
      <c r="B177" s="5" t="s">
        <v>454</v>
      </c>
      <c r="C177" s="3" t="s">
        <v>76</v>
      </c>
      <c r="D177" s="3" t="str">
        <f t="shared" si="6"/>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x14ac:dyDescent="0.25">
      <c r="A178" s="3" t="s">
        <v>446</v>
      </c>
      <c r="B178" s="5" t="s">
        <v>455</v>
      </c>
      <c r="C178" s="3" t="s">
        <v>76</v>
      </c>
      <c r="D178" s="3" t="str">
        <f t="shared" si="6"/>
        <v>[`Output intrinsic vs extrinsic motivation`,``,``,``,``, ``,`&lt;p class='space'&gt;Studies find intrinsic motivation leads to higher quality work, and extrinsic to higher quantity `, `HRM360-ch5`],</v>
      </c>
    </row>
    <row r="179" spans="1:4" ht="75" x14ac:dyDescent="0.25">
      <c r="A179" s="3" t="s">
        <v>448</v>
      </c>
      <c r="B179" s="5" t="s">
        <v>456</v>
      </c>
      <c r="C179" s="3" t="s">
        <v>76</v>
      </c>
      <c r="D179" s="3" t="str">
        <f t="shared" si="6"/>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x14ac:dyDescent="0.25">
      <c r="A180" s="3" t="s">
        <v>450</v>
      </c>
      <c r="B180" s="5" t="s">
        <v>451</v>
      </c>
      <c r="C180" s="3" t="s">
        <v>76</v>
      </c>
      <c r="D180" s="3" t="str">
        <f t="shared" si="6"/>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x14ac:dyDescent="0.25">
      <c r="A181" s="3" t="s">
        <v>452</v>
      </c>
      <c r="B181" s="5" t="s">
        <v>457</v>
      </c>
      <c r="C181" s="3" t="s">
        <v>76</v>
      </c>
      <c r="D181" s="3" t="str">
        <f t="shared" si="6"/>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x14ac:dyDescent="0.25">
      <c r="A182" s="3" t="s">
        <v>453</v>
      </c>
      <c r="B182" s="5" t="s">
        <v>458</v>
      </c>
      <c r="C182" s="3" t="s">
        <v>76</v>
      </c>
      <c r="D182" s="3" t="str">
        <f t="shared" si="6"/>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459</v>
      </c>
      <c r="B183" s="3" t="s">
        <v>461</v>
      </c>
      <c r="C183" s="3" t="s">
        <v>76</v>
      </c>
      <c r="D183" s="3" t="str">
        <f t="shared" si="6"/>
        <v>[`Motivation and equity theory`,``,``,``,``, ``,`&lt;p class='space'&gt;Equity theory, people are motivated based on their perceptions of the fairness of those exchanges`, `HRM360-ch5`],</v>
      </c>
    </row>
    <row r="184" spans="1:4" ht="75" x14ac:dyDescent="0.25">
      <c r="A184" s="3" t="s">
        <v>460</v>
      </c>
      <c r="B184" s="5" t="s">
        <v>462</v>
      </c>
      <c r="C184" s="3" t="s">
        <v>76</v>
      </c>
      <c r="D184" s="3" t="str">
        <f t="shared" si="6"/>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x14ac:dyDescent="0.25">
      <c r="A185" s="3" t="s">
        <v>463</v>
      </c>
      <c r="B185" s="5" t="s">
        <v>464</v>
      </c>
      <c r="C185" s="3" t="s">
        <v>76</v>
      </c>
      <c r="D185" s="3" t="str">
        <f t="shared" si="6"/>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x14ac:dyDescent="0.25">
      <c r="A186" s="3" t="s">
        <v>460</v>
      </c>
      <c r="B186" s="5" t="s">
        <v>466</v>
      </c>
      <c r="C186" s="3" t="s">
        <v>76</v>
      </c>
      <c r="D186" s="3" t="str">
        <f t="shared" ref="D186:D187" si="7">"[`"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x14ac:dyDescent="0.25">
      <c r="A187" s="3" t="s">
        <v>465</v>
      </c>
      <c r="B187" s="5" t="s">
        <v>467</v>
      </c>
      <c r="C187" s="3" t="s">
        <v>76</v>
      </c>
      <c r="D187" s="3" t="str">
        <f t="shared" si="7"/>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x14ac:dyDescent="0.25">
      <c r="A188" s="3" t="s">
        <v>468</v>
      </c>
      <c r="B188" s="5" t="s">
        <v>469</v>
      </c>
      <c r="C188" s="3" t="s">
        <v>76</v>
      </c>
      <c r="D188" s="3" t="str">
        <f t="shared" ref="D188:D190" si="8">"[`"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x14ac:dyDescent="0.25">
      <c r="A189" s="3" t="s">
        <v>471</v>
      </c>
      <c r="B189" s="5" t="s">
        <v>470</v>
      </c>
      <c r="C189" s="3" t="s">
        <v>76</v>
      </c>
      <c r="D189" s="3" t="str">
        <f t="shared" si="8"/>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472</v>
      </c>
      <c r="B190" s="3" t="s">
        <v>475</v>
      </c>
      <c r="C190" s="3" t="s">
        <v>473</v>
      </c>
      <c r="D190" s="3" t="str">
        <f t="shared" si="8"/>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474</v>
      </c>
      <c r="B191" s="5" t="s">
        <v>476</v>
      </c>
      <c r="C191" s="3" t="s">
        <v>473</v>
      </c>
    </row>
    <row r="192" spans="1:4" x14ac:dyDescent="0.25">
      <c r="A192" s="3" t="s">
        <v>477</v>
      </c>
      <c r="B192" s="3" t="s">
        <v>478</v>
      </c>
      <c r="C192" s="3" t="s">
        <v>473</v>
      </c>
    </row>
    <row r="193" spans="1:3" x14ac:dyDescent="0.25">
      <c r="B193" s="3" t="s">
        <v>479</v>
      </c>
    </row>
    <row r="194" spans="1:3" x14ac:dyDescent="0.25">
      <c r="A194" s="3" t="s">
        <v>480</v>
      </c>
      <c r="B194" s="3" t="s">
        <v>481</v>
      </c>
      <c r="C194" s="3" t="s">
        <v>473</v>
      </c>
    </row>
    <row r="195" spans="1:3" x14ac:dyDescent="0.25">
      <c r="A195" s="3" t="s">
        <v>482</v>
      </c>
      <c r="B195" s="3" t="s">
        <v>483</v>
      </c>
      <c r="C195" s="3" t="s">
        <v>484</v>
      </c>
    </row>
  </sheetData>
  <autoFilter ref="A1:D180" xr:uid="{1FF23012-9E81-401A-988D-FBEDA03A7DD0}">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48"/>
  <sheetViews>
    <sheetView tabSelected="1" zoomScaleNormal="100" workbookViewId="0">
      <pane ySplit="198" topLeftCell="A231" activePane="bottomLeft" state="frozen"/>
      <selection pane="bottomLeft" activeCell="B271" sqref="B271"/>
    </sheetView>
  </sheetViews>
  <sheetFormatPr defaultRowHeight="15" x14ac:dyDescent="0.25"/>
  <cols>
    <col min="1" max="1" width="51.5703125" customWidth="1"/>
    <col min="2" max="2" width="63.85546875" customWidth="1"/>
    <col min="3" max="3" width="16.85546875" customWidth="1"/>
    <col min="4" max="4" width="34.7109375" customWidth="1"/>
  </cols>
  <sheetData>
    <row r="1" spans="1:4" x14ac:dyDescent="0.25">
      <c r="A1" s="2" t="s">
        <v>77</v>
      </c>
      <c r="B1" s="3" t="s">
        <v>129</v>
      </c>
      <c r="C1" s="3" t="s">
        <v>78</v>
      </c>
      <c r="D1" s="3" t="s">
        <v>119</v>
      </c>
    </row>
    <row r="2" spans="1:4" hidden="1" x14ac:dyDescent="0.25">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x14ac:dyDescent="0.25">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x14ac:dyDescent="0.25">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0"/>
        <v>[`Attitudes are?`,``,``,``,``, ``,`&lt;p class='space'&gt;Diet values, psychological tendencies, fleeting changes`, `HRM360-ch2`],</v>
      </c>
    </row>
    <row r="57" spans="1:4" hidden="1" x14ac:dyDescent="0.25">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x14ac:dyDescent="0.25">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x14ac:dyDescent="0.25">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1"/>
        <v>[`What Contributes to Employee Engagement? Two Factors:`,``,``,``,``, ``,`&lt;p class='space'&gt;Person Factors&lt;p class='space'&gt;Situation Factors  `, `HRM360-ch2`],</v>
      </c>
    </row>
    <row r="73" spans="1:4" ht="30" hidden="1" x14ac:dyDescent="0.25">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1"/>
        <v>[`Traits`,``,``,``,``, ``,`Facets of you that allow your behaviors to be predicted- in weak situations. `, `HRM360-ch3`],</v>
      </c>
    </row>
    <row r="82" spans="1:4" hidden="1" x14ac:dyDescent="0.25">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1"/>
        <v>[`Emotions`,``,``,``,``, ``,`&lt;p class='space'&gt;happen suddenly - affect your ability to focus. Dissipate quickly.`, `HRM360-ch3`],</v>
      </c>
    </row>
    <row r="84" spans="1:4" hidden="1" x14ac:dyDescent="0.25">
      <c r="A84" s="3" t="s">
        <v>298</v>
      </c>
      <c r="B84" s="3" t="s">
        <v>304</v>
      </c>
      <c r="C84" s="3" t="s">
        <v>294</v>
      </c>
      <c r="D84" s="3" t="str">
        <f t="shared" si="1"/>
        <v>[`Moods`,``,``,``,``, ``,`&lt;p class='space'&gt;Lower key - slowly shape your thoughts all day.`, `HRM360-ch3`],</v>
      </c>
    </row>
    <row r="85" spans="1:4" ht="60" hidden="1" x14ac:dyDescent="0.25">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B87" s="3"/>
      <c r="C87" s="3" t="s">
        <v>294</v>
      </c>
      <c r="D87" s="3" t="str">
        <f t="shared" si="1"/>
        <v>[`Affectivity original model`,``,``,``,``, ``,``, `HRM360-ch3`],</v>
      </c>
    </row>
    <row r="88" spans="1:4" ht="75" hidden="1" x14ac:dyDescent="0.25">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1"/>
        <v>[`Positive/Negative Affectivity align with`,``,``,``,``, ``,`&lt;p class='space'&gt;Big five Neuroticism  and extroversion`, `HRM360-ch3`],</v>
      </c>
    </row>
    <row r="90" spans="1:4" hidden="1" x14ac:dyDescent="0.25">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1"/>
        <v>[`Employee burnout more likely when one has:`,``,``,``,``, ``,`&lt;p class='space'&gt;High negative affectivity`, `HRM360-ch3`],</v>
      </c>
    </row>
    <row r="92" spans="1:4" hidden="1" x14ac:dyDescent="0.25">
      <c r="A92" s="3" t="s">
        <v>308</v>
      </c>
      <c r="B92" s="3" t="s">
        <v>310</v>
      </c>
      <c r="C92" s="3" t="s">
        <v>294</v>
      </c>
      <c r="D92" s="3" t="str">
        <f t="shared" si="1"/>
        <v>[`Least likely to burnout:`,``,``,``,``, ``,`&lt;p class='space'&gt;Low negative affectivity`, `HRM360-ch3`],</v>
      </c>
    </row>
    <row r="93" spans="1:4" ht="45" hidden="1" x14ac:dyDescent="0.25">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x14ac:dyDescent="0.25">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x14ac:dyDescent="0.25">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1"/>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1"/>
        <v>[`“Ideal Employee” Personality`,``,``,``,``, ``,`&lt;p class='space'&gt;There Is No “Ideal Employee” Personality`, `HRM360-ch3`],</v>
      </c>
    </row>
    <row r="109" spans="1:4" hidden="1" x14ac:dyDescent="0.25">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1"/>
        <v>[`Core self-evaluations -  Self-esteem`,``,``,``,``, ``,`&lt;p class='space'&gt;Self-esteem is your general belief about your own self-worth. `, `HRM360-ch3`],</v>
      </c>
    </row>
    <row r="112" spans="1:4" hidden="1" x14ac:dyDescent="0.25">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378</v>
      </c>
      <c r="B114" s="3" t="s">
        <v>379</v>
      </c>
      <c r="C114" s="3" t="s">
        <v>294</v>
      </c>
      <c r="D114" s="3" t="str">
        <f t="shared" si="1"/>
        <v>[`Which Big 5 factors predict the following? Performance? `,``,``,``,``, ``,`&lt;p class='space'&gt;consciousness`, `HRM360-ch3`],</v>
      </c>
    </row>
    <row r="115" spans="1:4" ht="30" hidden="1" x14ac:dyDescent="0.25">
      <c r="A115" s="5" t="s">
        <v>377</v>
      </c>
      <c r="B115" s="3" t="s">
        <v>379</v>
      </c>
      <c r="C115" s="3" t="s">
        <v>294</v>
      </c>
      <c r="D115" s="3" t="str">
        <f t="shared" si="1"/>
        <v>[`Which Big 5 factors predict the following? Occupational Success?`,``,``,``,``, ``,`&lt;p class='space'&gt;consciousness`, `HRM360-ch3`],</v>
      </c>
    </row>
    <row r="116" spans="1:4" ht="30" hidden="1" x14ac:dyDescent="0.25">
      <c r="A116" s="5" t="s">
        <v>376</v>
      </c>
      <c r="B116" s="3" t="s">
        <v>381</v>
      </c>
      <c r="C116" s="3" t="s">
        <v>294</v>
      </c>
      <c r="D116" s="3" t="str">
        <f t="shared" si="1"/>
        <v>[`Which Big 5 factors predict the following? Performance in social interactions?`,``,``,``,``, ``,`&lt;p class='space'&gt;extroversion`, `HRM360-ch3`],</v>
      </c>
    </row>
    <row r="117" spans="1:4" hidden="1" x14ac:dyDescent="0.25">
      <c r="A117" s="3" t="s">
        <v>390</v>
      </c>
      <c r="B117" s="3" t="s">
        <v>381</v>
      </c>
      <c r="C117" s="3" t="s">
        <v>294</v>
      </c>
      <c r="D117" s="3" t="str">
        <f t="shared" si="1"/>
        <v>[`Which Big 5 factors predict the following? Performance in customer service?`,``,``,``,``, ``,`&lt;p class='space'&gt;extroversion`, `HRM360-ch3`],</v>
      </c>
    </row>
    <row r="118" spans="1:4" hidden="1" x14ac:dyDescent="0.25">
      <c r="A118" s="3" t="s">
        <v>391</v>
      </c>
      <c r="B118" s="3" t="s">
        <v>380</v>
      </c>
      <c r="C118" s="3" t="s">
        <v>294</v>
      </c>
      <c r="D118" s="3" t="str">
        <f t="shared" si="1"/>
        <v>[`Which Big 5 factors predict the following? Team Performance?`,``,``,``,``, ``,`&lt;p class='space'&gt;consciousness  - agreeableness`, `HRM360-ch3`],</v>
      </c>
    </row>
    <row r="119" spans="1:4" hidden="1" x14ac:dyDescent="0.25">
      <c r="A119" s="3" t="s">
        <v>392</v>
      </c>
      <c r="B119" s="3" t="s">
        <v>393</v>
      </c>
      <c r="C119" s="3" t="s">
        <v>294</v>
      </c>
      <c r="D119" s="3" t="str">
        <f t="shared" si="1"/>
        <v>[`Which Big 5 factors predict the following? Emotional Support?`,``,``,``,``, ``,`&lt;p class='space'&gt; emotional stability - agreeableness`, `HRM360-ch3`],</v>
      </c>
    </row>
    <row r="120" spans="1:4" hidden="1" x14ac:dyDescent="0.25">
      <c r="A120" s="3" t="s">
        <v>394</v>
      </c>
      <c r="B120" s="3" t="s">
        <v>382</v>
      </c>
      <c r="C120" s="3" t="s">
        <v>294</v>
      </c>
      <c r="D120" s="3" t="str">
        <f t="shared" si="1"/>
        <v>[`Which Big 5 factors predict the following? Creativity or Innovation?`,``,``,``,``, ``,`&lt;p class='space'&gt;openness`, `HRM360-ch3`],</v>
      </c>
    </row>
    <row r="121" spans="1:4" hidden="1" x14ac:dyDescent="0.25">
      <c r="A121" s="3" t="s">
        <v>395</v>
      </c>
      <c r="B121" s="3" t="s">
        <v>383</v>
      </c>
      <c r="C121" s="3" t="s">
        <v>294</v>
      </c>
      <c r="D121" s="3" t="str">
        <f t="shared" si="1"/>
        <v>[`Which Big 5 factors predict the following? Helping Behavior?`,``,``,``,``, ``,`&lt;p class='space'&gt;agreeableness`, `HRM360-ch3`],</v>
      </c>
    </row>
    <row r="122" spans="1:4" hidden="1" x14ac:dyDescent="0.25">
      <c r="A122" s="3" t="s">
        <v>396</v>
      </c>
      <c r="B122" s="3" t="s">
        <v>384</v>
      </c>
      <c r="C122" s="3" t="s">
        <v>294</v>
      </c>
      <c r="D122" s="3" t="str">
        <f t="shared" si="1"/>
        <v>[`Which Big 5 factors predict the following? Burnout?`,``,``,``,``, ``,`&lt;p class='space'&gt;low emotional stability`, `HRM360-ch3`],</v>
      </c>
    </row>
    <row r="123" spans="1:4" hidden="1" x14ac:dyDescent="0.25">
      <c r="A123" s="3" t="s">
        <v>397</v>
      </c>
      <c r="B123" s="3" t="s">
        <v>385</v>
      </c>
      <c r="C123" s="3" t="s">
        <v>294</v>
      </c>
      <c r="D123" s="3" t="str">
        <f t="shared" si="1"/>
        <v>[`Which Big 5 factors predict the following? Transformational Leadership?`,``,``,``,``, ``,`&lt;p class='space'&gt;extroversion - agreeableness`, `HRM360-ch3`],</v>
      </c>
    </row>
    <row r="124" spans="1:4" ht="45" hidden="1" x14ac:dyDescent="0.25">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1"/>
        <v>[`Determining attitudes vs values which is easier `,``,``,``,``, ``,`&lt;p class='space'&gt;Attitudes are much easier to see`, `HRM360-ch4`],</v>
      </c>
    </row>
    <row r="130" spans="1:4" ht="75" hidden="1" x14ac:dyDescent="0.25">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2"/>
        <v>[`Self-serving Bias`,``,``,``,``, ``,`&lt;p class='space'&gt;One's tendency to take credit for success and deny blame for failure`, `HRM360-ch4`],</v>
      </c>
    </row>
    <row r="134" spans="1:4" hidden="1" x14ac:dyDescent="0.25">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x14ac:dyDescent="0.25">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2"/>
        <v>[`Fundamental attribution error also:`,``,``,``,``, ``,`&lt;p class='space'&gt;Fundamental attribution error (a.k.a., the correspondence bias):`, `HRM360-ch4`],</v>
      </c>
    </row>
    <row r="143" spans="1:4" ht="120" hidden="1" x14ac:dyDescent="0.25">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2"/>
        <v>[` Causal Attributions`,``,``,``,``, ``,`&lt;p class='space'&gt;Causal attributions are suspected or inferred causes of behavior. `, `HRM360-ch4`],</v>
      </c>
    </row>
    <row r="151" spans="1:4" hidden="1" x14ac:dyDescent="0.25">
      <c r="A151" s="3" t="s">
        <v>75</v>
      </c>
      <c r="B151" s="3" t="s">
        <v>199</v>
      </c>
      <c r="C151" s="3" t="s">
        <v>76</v>
      </c>
      <c r="D151" s="3" t="str">
        <f t="shared" si="2"/>
        <v>[`Extrinsic motivation`,``,``,``,``, ``,`&lt;p class='space'&gt;results from the potential or actual receipt of external rewards`, `HRM360-ch5`],</v>
      </c>
    </row>
    <row r="152" spans="1:4" hidden="1" x14ac:dyDescent="0.25">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2"/>
        <v>[`Maslow's need - Physiological`,``,``,``,``, ``,`&lt;p class='space'&gt;Most basic need - food, air, and water to survive`, `HRM360-ch5`],</v>
      </c>
    </row>
    <row r="159" spans="1:4" hidden="1" x14ac:dyDescent="0.25">
      <c r="A159" s="3" t="s">
        <v>86</v>
      </c>
      <c r="B159" s="3" t="s">
        <v>204</v>
      </c>
      <c r="C159" s="3" t="s">
        <v>76</v>
      </c>
      <c r="D159" s="3" t="str">
        <f t="shared" si="2"/>
        <v>[`Maslow's need - Safety`,``,``,``,``, ``,`&lt;p class='space'&gt;Safe from physical and psychological harm`, `HRM360-ch5`],</v>
      </c>
    </row>
    <row r="160" spans="1:4" hidden="1" x14ac:dyDescent="0.25">
      <c r="A160" s="3" t="s">
        <v>87</v>
      </c>
      <c r="B160" s="3" t="s">
        <v>323</v>
      </c>
      <c r="C160" s="3" t="s">
        <v>76</v>
      </c>
      <c r="D160" s="3" t="str">
        <f t="shared" si="2"/>
        <v>[`Maslow's need - love`,``,``,``,``, ``,`&lt;p class='space'&gt;desire to be loved and to love - needs for affection and belonging`, `HRM360-ch5`],</v>
      </c>
    </row>
    <row r="161" spans="1:4" hidden="1" x14ac:dyDescent="0.25">
      <c r="A161" s="3" t="s">
        <v>88</v>
      </c>
      <c r="B161" s="3" t="s">
        <v>324</v>
      </c>
      <c r="C161" s="3" t="s">
        <v>76</v>
      </c>
      <c r="D161" s="3" t="str">
        <f t="shared" si="2"/>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si="2"/>
        <v>[`Maslow's need - Self-Actualization`,``,``,``,``, ``,`&lt;p class='space'&gt;Desire for self fulfillment - to become the best one is capable of becoming.`, `HRM360-ch5`],</v>
      </c>
    </row>
    <row r="163" spans="1:4" hidden="1" x14ac:dyDescent="0.25">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x14ac:dyDescent="0.25">
      <c r="A175" s="3" t="s">
        <v>442</v>
      </c>
      <c r="B175" s="3"/>
      <c r="C175" s="3" t="s">
        <v>76</v>
      </c>
      <c r="D175" s="3" t="str">
        <f t="shared" si="2"/>
        <v>[`*Expectancy theory`,``,``,``,``, ``,``, `HRM360-ch5`],</v>
      </c>
    </row>
    <row r="176" spans="1:4" hidden="1" x14ac:dyDescent="0.25">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x14ac:dyDescent="0.25">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x14ac:dyDescent="0.25">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x14ac:dyDescent="0.25">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x14ac:dyDescent="0.25">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x14ac:dyDescent="0.25">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490</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485</v>
      </c>
      <c r="B193" s="3" t="s">
        <v>479</v>
      </c>
      <c r="C193" s="3" t="s">
        <v>495</v>
      </c>
      <c r="D193" s="3" t="str">
        <f t="shared" si="2"/>
        <v>[`Need to be updated`,``,``,``,``, ``,`Generally, people tend to perceive and recall positive feedback more accurately than they do negative feedback. But negative feedback `, `HRM360-ch?`],</v>
      </c>
    </row>
    <row r="194" spans="1:4" hidden="1" x14ac:dyDescent="0.25">
      <c r="A194" s="3" t="s">
        <v>480</v>
      </c>
      <c r="B194" s="3" t="s">
        <v>491</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482</v>
      </c>
      <c r="B195" s="3" t="s">
        <v>483</v>
      </c>
      <c r="C195" s="3" t="s">
        <v>484</v>
      </c>
      <c r="D195" s="3" t="str">
        <f t="shared" si="3"/>
        <v>[`Tuckman’s Five-Stage Model of Group Development`,``,``,``,``, ``,`forming, storming, norming, performing, adjourning`, `HRM360-ch8`],</v>
      </c>
    </row>
    <row r="196" spans="1:4" hidden="1" x14ac:dyDescent="0.25">
      <c r="A196" s="3" t="s">
        <v>486</v>
      </c>
      <c r="B196" s="3" t="s">
        <v>492</v>
      </c>
      <c r="C196" s="3" t="s">
        <v>496</v>
      </c>
      <c r="D196" s="3" t="str">
        <f t="shared" si="3"/>
        <v>[`Flex box - set items into evenly spread row`,``,``,``,``, ``,`Parent&lt;p class='space'&gt;display: flex;&lt;p class='space'&gt;justify-content: space-around;`, `IS445-HTML/CSS`],</v>
      </c>
    </row>
    <row r="197" spans="1:4" hidden="1" x14ac:dyDescent="0.25">
      <c r="A197" s="3" t="s">
        <v>487</v>
      </c>
      <c r="B197" s="3" t="s">
        <v>488</v>
      </c>
      <c r="C197" s="3" t="s">
        <v>496</v>
      </c>
      <c r="D197" s="3" t="str">
        <f t="shared" si="3"/>
        <v>[`Where is the best refernce site for HTML-CSS rules/docs?`,``,``,``,``, ``,`MDN web docs - https://developer.mozilla.org/en-US/docs/Web`, `IS445-HTML/CSS`],</v>
      </c>
    </row>
    <row r="198" spans="1:4" ht="105" hidden="1" x14ac:dyDescent="0.25">
      <c r="A198" s="3" t="s">
        <v>489</v>
      </c>
      <c r="B198" s="11" t="s">
        <v>494</v>
      </c>
      <c r="C198" s="3" t="s">
        <v>493</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x14ac:dyDescent="0.25">
      <c r="A199" s="2" t="s">
        <v>44</v>
      </c>
      <c r="B199" s="3" t="s">
        <v>654</v>
      </c>
      <c r="C199" s="3" t="s">
        <v>497</v>
      </c>
      <c r="D199" s="3" t="str">
        <f t="shared" ref="D199:D230" si="4">"[`" &amp; A199 &amp; "`,``,``,``,``, ``,`"  &amp; B199 &amp; "`, `" &amp; C199 &amp; "`]" &amp; IF(C200&lt;&gt;"",",","")</f>
        <v>[`1. 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x14ac:dyDescent="0.25">
      <c r="A200" s="3" t="s">
        <v>43</v>
      </c>
      <c r="B200" s="3" t="s">
        <v>45</v>
      </c>
      <c r="C200" s="3" t="s">
        <v>497</v>
      </c>
      <c r="D200" s="3" t="str">
        <f t="shared" si="4"/>
        <v>[`2. What is a database?`,``,``,``,``, ``,`A shared, integrated computer structure that houses a collection of related data. A database contains two types of data: end-user data (raw facts) and metadata. `, `IS380-ch01`],</v>
      </c>
    </row>
    <row r="201" spans="1:4" hidden="1" x14ac:dyDescent="0.25">
      <c r="A201" s="4" t="s">
        <v>46</v>
      </c>
      <c r="B201" s="3" t="s">
        <v>47</v>
      </c>
      <c r="C201" s="3" t="s">
        <v>497</v>
      </c>
      <c r="D201" s="3" t="str">
        <f t="shared" si="4"/>
        <v>[`  What is metadata?`,``,``,``,``, ``,`Data about data; that is, data about data characteristics and relationships.`, `IS380-ch01`],</v>
      </c>
    </row>
    <row r="202" spans="1:4" ht="45" hidden="1" x14ac:dyDescent="0.25">
      <c r="A202" s="3" t="s">
        <v>48</v>
      </c>
      <c r="B202" s="5" t="s">
        <v>72</v>
      </c>
      <c r="C202" s="3" t="s">
        <v>497</v>
      </c>
      <c r="D202" s="3" t="str">
        <f t="shared" si="4"/>
        <v>[`3. What is a DBMS?  `,``,``,``,``, ``,`A database management system (DBMS) is a collection of programs that manages, the database structure and controls access to the data stored in the database.`, `IS380-ch01`],</v>
      </c>
    </row>
    <row r="203" spans="1:4" ht="105" hidden="1" x14ac:dyDescent="0.25">
      <c r="A203" s="3" t="s">
        <v>49</v>
      </c>
      <c r="B203" s="5" t="s">
        <v>518</v>
      </c>
      <c r="C203" s="3" t="s">
        <v>497</v>
      </c>
      <c r="D203" s="3" t="str">
        <f t="shared" si="4"/>
        <v>[`a. What are some advantages of a DBMS (why would you use one)?`,``,``,``,``, ``,`First,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 `IS380-ch01`],</v>
      </c>
    </row>
    <row r="204" spans="1:4" hidden="1" x14ac:dyDescent="0.25">
      <c r="A204" s="3" t="s">
        <v>50</v>
      </c>
      <c r="B204" s="3" t="s">
        <v>51</v>
      </c>
      <c r="C204" s="3" t="s">
        <v>497</v>
      </c>
      <c r="D204" s="3" t="str">
        <f t="shared" si="4"/>
        <v>[`4. What are some disadvantages of using a Database System?`,``,``,``,``, ``,`Cost, need to hire technical staff to design, manage, and operate the DBMS system.`, `IS380-ch01`],</v>
      </c>
    </row>
    <row r="205" spans="1:4" ht="255" hidden="1" x14ac:dyDescent="0.25">
      <c r="A205" s="3" t="s">
        <v>52</v>
      </c>
      <c r="B205" s="5" t="s">
        <v>519</v>
      </c>
      <c r="C205" s="3" t="s">
        <v>497</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x14ac:dyDescent="0.25">
      <c r="A206" s="3" t="s">
        <v>54</v>
      </c>
      <c r="B206" s="5" t="s">
        <v>53</v>
      </c>
      <c r="C206" s="3" t="s">
        <v>497</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x14ac:dyDescent="0.25">
      <c r="A207" s="6" t="s">
        <v>56</v>
      </c>
      <c r="B207" s="5" t="s">
        <v>520</v>
      </c>
      <c r="C207" s="3" t="s">
        <v>497</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x14ac:dyDescent="0.25">
      <c r="A208" s="1" t="s">
        <v>57</v>
      </c>
      <c r="B208" s="3" t="s">
        <v>521</v>
      </c>
      <c r="C208" s="3" t="s">
        <v>497</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x14ac:dyDescent="0.25">
      <c r="A209" s="3" t="s">
        <v>59</v>
      </c>
      <c r="B209" s="5" t="s">
        <v>73</v>
      </c>
      <c r="C209" s="3" t="s">
        <v>497</v>
      </c>
      <c r="D209" s="3" t="str">
        <f t="shared" si="4"/>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x14ac:dyDescent="0.25">
      <c r="A210" s="1" t="s">
        <v>61</v>
      </c>
      <c r="B210" s="7" t="s">
        <v>780</v>
      </c>
      <c r="C210" s="3" t="s">
        <v>497</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x14ac:dyDescent="0.25">
      <c r="A211" s="8" t="s">
        <v>65</v>
      </c>
      <c r="B211" s="3" t="s">
        <v>781</v>
      </c>
      <c r="C211" s="3" t="s">
        <v>497</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x14ac:dyDescent="0.25">
      <c r="A212" s="3" t="s">
        <v>64</v>
      </c>
      <c r="B212" s="3" t="s">
        <v>522</v>
      </c>
      <c r="C212" s="3" t="s">
        <v>497</v>
      </c>
      <c r="D212" s="3" t="str">
        <f t="shared" si="4"/>
        <v>[`file`,``,``,``,``, ``,`&lt;p class='space'&gt;c. File - A collection of related records. &lt;p class='space'&gt;For example, a file might contain data about the students currently enrolled at gigantic University.`, `IS380-ch01`],</v>
      </c>
    </row>
    <row r="213" spans="1:4" ht="75" hidden="1" x14ac:dyDescent="0.25">
      <c r="A213" s="3" t="s">
        <v>66</v>
      </c>
      <c r="B213" s="5" t="s">
        <v>523</v>
      </c>
      <c r="C213" s="3" t="s">
        <v>497</v>
      </c>
      <c r="D213" s="3" t="str">
        <f t="shared" si="4"/>
        <v>[`8. 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hidden="1" x14ac:dyDescent="0.25">
      <c r="A214" s="9" t="s">
        <v>69</v>
      </c>
      <c r="B214" s="3" t="s">
        <v>777</v>
      </c>
      <c r="C214" s="3" t="s">
        <v>497</v>
      </c>
      <c r="D214" s="3" t="str">
        <f t="shared" si="4"/>
        <v>[`To be considered a Minimally Relational Database, which relational operators must the database support? `,``,``,``,``, ``,`&lt;p class='space'&gt;Select,&lt;p class='space'&gt;Project,&lt;p class='space'&gt;Join`, `IS380-ch01`],</v>
      </c>
    </row>
    <row r="215" spans="1:4" hidden="1" x14ac:dyDescent="0.25">
      <c r="A215" s="3" t="s">
        <v>98</v>
      </c>
      <c r="B215" s="3" t="s">
        <v>524</v>
      </c>
      <c r="C215" s="3" t="s">
        <v>497</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x14ac:dyDescent="0.25">
      <c r="A216" s="3" t="s">
        <v>100</v>
      </c>
      <c r="B216" s="3" t="s">
        <v>525</v>
      </c>
      <c r="C216" s="3" t="s">
        <v>497</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x14ac:dyDescent="0.25">
      <c r="A217" s="3" t="s">
        <v>102</v>
      </c>
      <c r="B217" s="3" t="s">
        <v>526</v>
      </c>
      <c r="C217" s="3" t="s">
        <v>497</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x14ac:dyDescent="0.25">
      <c r="A218" s="10" t="s">
        <v>104</v>
      </c>
      <c r="B218" s="3" t="s">
        <v>527</v>
      </c>
      <c r="C218" s="3" t="s">
        <v>497</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x14ac:dyDescent="0.25">
      <c r="A219" s="3" t="s">
        <v>106</v>
      </c>
      <c r="B219" s="3" t="s">
        <v>528</v>
      </c>
      <c r="C219" s="3" t="s">
        <v>497</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x14ac:dyDescent="0.25">
      <c r="A220" s="10" t="s">
        <v>108</v>
      </c>
      <c r="B220" s="3" t="s">
        <v>529</v>
      </c>
      <c r="C220" s="3" t="s">
        <v>497</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x14ac:dyDescent="0.25">
      <c r="A221" s="3" t="s">
        <v>110</v>
      </c>
      <c r="B221" s="3" t="s">
        <v>530</v>
      </c>
      <c r="C221" s="3" t="s">
        <v>497</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x14ac:dyDescent="0.25">
      <c r="A222" s="3" t="s">
        <v>112</v>
      </c>
      <c r="B222" s="3" t="s">
        <v>531</v>
      </c>
      <c r="C222" s="3" t="s">
        <v>497</v>
      </c>
      <c r="D222" s="3" t="str">
        <f t="shared" si="4"/>
        <v>[`primary key`,``,``,``,``, ``,` &lt;p class='space'&gt;(a single attribute or some combination of attributes), which uniquely identifies each entity instance. function of the primary key is to guarantee entity integrity, not to “describe” the entity`, `IS380-ch01`],</v>
      </c>
    </row>
    <row r="223" spans="1:4" hidden="1" x14ac:dyDescent="0.25">
      <c r="A223" s="3" t="s">
        <v>114</v>
      </c>
      <c r="B223" s="3" t="s">
        <v>113</v>
      </c>
      <c r="C223" s="3" t="s">
        <v>497</v>
      </c>
      <c r="D223" s="3" t="str">
        <f t="shared" si="4"/>
        <v>[`natural key or natural identifier`,``,``,``,``, ``,`natural key or natural identifier is a real-world, generally accepted identifier used to distinguish, that is, uniquely identify, real-world objects. `, `IS380-ch01`],</v>
      </c>
    </row>
    <row r="224" spans="1:4" hidden="1" x14ac:dyDescent="0.25">
      <c r="A224" s="3" t="s">
        <v>116</v>
      </c>
      <c r="B224" s="3" t="s">
        <v>782</v>
      </c>
      <c r="C224" s="3" t="s">
        <v>497</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x14ac:dyDescent="0.25">
      <c r="A225" t="s">
        <v>498</v>
      </c>
      <c r="B225" s="3" t="s">
        <v>532</v>
      </c>
      <c r="C225" s="3" t="s">
        <v>497</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x14ac:dyDescent="0.25">
      <c r="A226" t="s">
        <v>499</v>
      </c>
      <c r="B226" s="3" t="s">
        <v>778</v>
      </c>
      <c r="C226" s="3" t="s">
        <v>497</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x14ac:dyDescent="0.25">
      <c r="A227" s="3" t="s">
        <v>500</v>
      </c>
      <c r="B227" s="3" t="s">
        <v>533</v>
      </c>
      <c r="C227" s="3" t="s">
        <v>497</v>
      </c>
      <c r="D227" s="3" t="str">
        <f t="shared" si="4"/>
        <v>[`The main objective of relational DBMSs is `,``,``,``,``, ``,`&lt;p class='space'&gt;data independence`, `IS380-ch01`],</v>
      </c>
    </row>
    <row r="228" spans="1:4" hidden="1" x14ac:dyDescent="0.25">
      <c r="A228" t="s">
        <v>501</v>
      </c>
      <c r="B228" s="3" t="s">
        <v>534</v>
      </c>
      <c r="C228" s="3" t="s">
        <v>497</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x14ac:dyDescent="0.25">
      <c r="A229" t="s">
        <v>502</v>
      </c>
      <c r="B229" s="3" t="s">
        <v>779</v>
      </c>
      <c r="C229" s="3" t="s">
        <v>497</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x14ac:dyDescent="0.25">
      <c r="A230" t="s">
        <v>503</v>
      </c>
      <c r="B230" t="s">
        <v>535</v>
      </c>
      <c r="C230" s="3" t="s">
        <v>497</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x14ac:dyDescent="0.25">
      <c r="A231" t="s">
        <v>504</v>
      </c>
      <c r="B231" t="s">
        <v>783</v>
      </c>
      <c r="C231" s="3" t="s">
        <v>497</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x14ac:dyDescent="0.25">
      <c r="A232" t="s">
        <v>505</v>
      </c>
      <c r="B232" s="3" t="s">
        <v>784</v>
      </c>
      <c r="C232" s="3" t="s">
        <v>497</v>
      </c>
      <c r="D232" s="3" t="str">
        <f t="shared" si="5"/>
        <v>[`CRUD`,``,``,``,``, ``,`&lt;p class='space'&gt; (CRUD) are the four basic functions of persistent storage.&lt;p class='space'&gt;Create&lt;p class='space'&gt;Read&lt;p class='space'&gt;Update&lt;p class='space'&gt;Delete`, `IS380-ch01`],</v>
      </c>
    </row>
    <row r="233" spans="1:4" hidden="1" x14ac:dyDescent="0.25">
      <c r="A233" t="s">
        <v>506</v>
      </c>
      <c r="B233" t="s">
        <v>536</v>
      </c>
      <c r="C233" s="3" t="s">
        <v>507</v>
      </c>
      <c r="D233"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4" spans="1:4" hidden="1" x14ac:dyDescent="0.25">
      <c r="A234" t="s">
        <v>508</v>
      </c>
      <c r="B234" t="s">
        <v>537</v>
      </c>
      <c r="C234" s="3" t="s">
        <v>507</v>
      </c>
      <c r="D234"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5" spans="1:4" hidden="1" x14ac:dyDescent="0.25">
      <c r="A235" t="s">
        <v>509</v>
      </c>
      <c r="B235" t="s">
        <v>538</v>
      </c>
      <c r="C235" s="3" t="s">
        <v>507</v>
      </c>
      <c r="D235"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6" spans="1:4" hidden="1" x14ac:dyDescent="0.25">
      <c r="A236" t="s">
        <v>510</v>
      </c>
      <c r="B236" t="s">
        <v>539</v>
      </c>
      <c r="C236" s="3" t="s">
        <v>507</v>
      </c>
      <c r="D236"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7" spans="1:4" hidden="1" x14ac:dyDescent="0.25">
      <c r="A237" t="s">
        <v>511</v>
      </c>
      <c r="B237" t="s">
        <v>785</v>
      </c>
      <c r="C237" s="3" t="s">
        <v>507</v>
      </c>
      <c r="D237"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8" spans="1:4" ht="60" hidden="1" x14ac:dyDescent="0.25">
      <c r="A238" s="11" t="s">
        <v>517</v>
      </c>
      <c r="B238" s="11" t="s">
        <v>540</v>
      </c>
      <c r="C238" s="3" t="s">
        <v>507</v>
      </c>
      <c r="D238"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39" spans="1:4" hidden="1" x14ac:dyDescent="0.25">
      <c r="A239" t="s">
        <v>512</v>
      </c>
      <c r="B239" t="s">
        <v>541</v>
      </c>
      <c r="C239" s="3" t="s">
        <v>507</v>
      </c>
      <c r="D239"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0" spans="1:4" hidden="1" x14ac:dyDescent="0.25">
      <c r="A240" t="s">
        <v>513</v>
      </c>
      <c r="B240" t="s">
        <v>794</v>
      </c>
      <c r="C240" s="3" t="s">
        <v>507</v>
      </c>
      <c r="D240"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1" spans="1:4" hidden="1" x14ac:dyDescent="0.25">
      <c r="A241" t="s">
        <v>514</v>
      </c>
      <c r="B241" t="s">
        <v>542</v>
      </c>
      <c r="C241" s="3" t="s">
        <v>507</v>
      </c>
      <c r="D241"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2" spans="1:4" hidden="1" x14ac:dyDescent="0.25">
      <c r="A242" t="s">
        <v>515</v>
      </c>
      <c r="B242" t="s">
        <v>543</v>
      </c>
      <c r="C242" s="3" t="s">
        <v>507</v>
      </c>
      <c r="D242"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3" spans="1:4" hidden="1" x14ac:dyDescent="0.25">
      <c r="A243" t="s">
        <v>795</v>
      </c>
      <c r="B243" t="s">
        <v>544</v>
      </c>
      <c r="C243" s="3" t="s">
        <v>507</v>
      </c>
      <c r="D243"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4" spans="1:4" hidden="1" x14ac:dyDescent="0.25">
      <c r="A244" t="s">
        <v>796</v>
      </c>
      <c r="B244" t="s">
        <v>819</v>
      </c>
      <c r="C244" s="3" t="s">
        <v>507</v>
      </c>
      <c r="D244"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5" spans="1:4" hidden="1" x14ac:dyDescent="0.25">
      <c r="A245" t="s">
        <v>516</v>
      </c>
      <c r="B245" t="s">
        <v>820</v>
      </c>
      <c r="C245" s="3" t="s">
        <v>507</v>
      </c>
      <c r="D245"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6" spans="1:4" hidden="1" x14ac:dyDescent="0.25">
      <c r="A246" t="s">
        <v>562</v>
      </c>
      <c r="B246" t="s">
        <v>614</v>
      </c>
      <c r="C246" s="3" t="s">
        <v>545</v>
      </c>
      <c r="D246"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47" spans="1:4" hidden="1" x14ac:dyDescent="0.25">
      <c r="A247" t="s">
        <v>563</v>
      </c>
      <c r="B247" t="s">
        <v>615</v>
      </c>
      <c r="C247" s="3" t="s">
        <v>545</v>
      </c>
      <c r="D247" s="3" t="str">
        <f t="shared" si="5"/>
        <v>[`What is an Attribute Domain?`,``,``,``,``, ``,`&lt;p class='space'&gt;An attribute domain is a range of values for a column / attribute. E.g. a column for student GPA can have a value between 0 and 4.0.`, `IS380-ch03`],</v>
      </c>
    </row>
    <row r="248" spans="1:4" hidden="1" x14ac:dyDescent="0.25">
      <c r="A248" t="s">
        <v>564</v>
      </c>
      <c r="B248" t="s">
        <v>616</v>
      </c>
      <c r="C248" s="3" t="s">
        <v>545</v>
      </c>
      <c r="D248"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49" spans="1:4" hidden="1" x14ac:dyDescent="0.25">
      <c r="A249" t="s">
        <v>565</v>
      </c>
      <c r="B249" t="s">
        <v>617</v>
      </c>
      <c r="C249" s="3" t="s">
        <v>545</v>
      </c>
      <c r="D249"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50" spans="1:4" hidden="1" x14ac:dyDescent="0.25">
      <c r="A250" t="s">
        <v>566</v>
      </c>
      <c r="B250" t="s">
        <v>618</v>
      </c>
      <c r="C250" s="3" t="s">
        <v>545</v>
      </c>
      <c r="D250" s="3" t="str">
        <f t="shared" si="5"/>
        <v>[`In reference to dependencies - define dependent`,``,``,``,``, ``,`&lt;p class='space'&gt;An attribute whose value is determined by another attribute.`, `IS380-ch03`],</v>
      </c>
    </row>
    <row r="251" spans="1:4" hidden="1" x14ac:dyDescent="0.25">
      <c r="A251" t="s">
        <v>568</v>
      </c>
      <c r="B251" t="s">
        <v>821</v>
      </c>
      <c r="C251" t="s">
        <v>545</v>
      </c>
      <c r="D251" s="3" t="str">
        <f t="shared" si="5"/>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52" spans="1:4" hidden="1" x14ac:dyDescent="0.25">
      <c r="A252" t="s">
        <v>569</v>
      </c>
      <c r="B252" t="s">
        <v>619</v>
      </c>
      <c r="C252" t="s">
        <v>545</v>
      </c>
      <c r="D252" s="3" t="str">
        <f t="shared" si="5"/>
        <v>[`Foreign Key (Important)`,``,``,``,``, ``,`&lt;p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 `IS380-ch03`],</v>
      </c>
    </row>
    <row r="253" spans="1:4" hidden="1" x14ac:dyDescent="0.25">
      <c r="A253" t="s">
        <v>570</v>
      </c>
      <c r="B253" t="s">
        <v>620</v>
      </c>
      <c r="C253" t="s">
        <v>545</v>
      </c>
      <c r="D253" s="3" t="str">
        <f t="shared" si="5"/>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54" spans="1:4" hidden="1" x14ac:dyDescent="0.25">
      <c r="A254" t="s">
        <v>571</v>
      </c>
      <c r="B254" t="s">
        <v>621</v>
      </c>
      <c r="C254" t="s">
        <v>545</v>
      </c>
      <c r="D254" s="3" t="str">
        <f t="shared" si="5"/>
        <v>[`Candidate key`,``,``,``,``, ``,`&lt;p class='space'&gt;Basically, a Candidate Key is a Super Key from which no more Attribute can be pruned.&lt;p class='space'&gt;A Super Key identifies uniquely rows/tuples in a table/relation of a database.`, `IS380-ch03`],</v>
      </c>
    </row>
    <row r="255" spans="1:4" hidden="1" x14ac:dyDescent="0.25">
      <c r="A255" t="s">
        <v>572</v>
      </c>
      <c r="B255" t="s">
        <v>622</v>
      </c>
      <c r="C255" t="s">
        <v>545</v>
      </c>
      <c r="D255" s="3" t="str">
        <f t="shared" si="5"/>
        <v>[`Secondary key/Index (Important)`,``,``,``,``, ``,`&lt;p class='space'&gt;A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56" spans="1:4" hidden="1" x14ac:dyDescent="0.25">
      <c r="A256" t="s">
        <v>573</v>
      </c>
      <c r="B256" t="s">
        <v>623</v>
      </c>
      <c r="C256" t="s">
        <v>545</v>
      </c>
      <c r="D256" s="3" t="str">
        <f t="shared" si="5"/>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57" spans="1:4" hidden="1" x14ac:dyDescent="0.25">
      <c r="A257" t="s">
        <v>574</v>
      </c>
      <c r="B257" t="s">
        <v>822</v>
      </c>
      <c r="C257" t="s">
        <v>545</v>
      </c>
      <c r="D257" s="3" t="str">
        <f t="shared" si="5"/>
        <v>[`What is entity integrity?`,``,``,``,``, ``,`&lt;p class='space'&gt;The property of a relational table that guarantees each entity has &lt;p class='space'&gt;(1)a unique value in a primary key and that &lt;p class='space'&gt;(2)the key has no null values.`, `IS380-ch03`],</v>
      </c>
    </row>
    <row r="258" spans="1:4" ht="45" hidden="1" x14ac:dyDescent="0.25">
      <c r="A258" t="s">
        <v>575</v>
      </c>
      <c r="B258" s="11" t="s">
        <v>823</v>
      </c>
      <c r="C258" t="s">
        <v>545</v>
      </c>
      <c r="D258" s="3" t="str">
        <f t="shared" si="5"/>
        <v>[`What is referential integrity?`,``,``,``,``, ``,`&lt;p class='space'&gt;A condition by which a dependent table’s foreign key must have &lt;p class='space'&gt;(1)either a null entry or &lt;p class='space'&gt;(2)a matching entry in the related table.`, `IS380-ch03`],</v>
      </c>
    </row>
    <row r="259" spans="1:4" hidden="1" x14ac:dyDescent="0.25">
      <c r="A259" t="s">
        <v>576</v>
      </c>
      <c r="B259" t="s">
        <v>624</v>
      </c>
      <c r="C259" t="s">
        <v>545</v>
      </c>
      <c r="D259" s="3" t="str">
        <f t="shared" si="5"/>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60" spans="1:4" hidden="1" x14ac:dyDescent="0.25">
      <c r="A260" t="s">
        <v>577</v>
      </c>
      <c r="B260" t="s">
        <v>625</v>
      </c>
      <c r="C260" t="s">
        <v>545</v>
      </c>
      <c r="D260" s="3" t="str">
        <f t="shared" si="5"/>
        <v>[`What is the System Catalog?`,``,``,``,``, ``,`&lt;p class='space'&gt;A detailed system data dictionary that describes all objects in a database.`, `IS380-ch03`],</v>
      </c>
    </row>
    <row r="261" spans="1:4" hidden="1" x14ac:dyDescent="0.25">
      <c r="A261" t="s">
        <v>578</v>
      </c>
      <c r="B261" t="s">
        <v>626</v>
      </c>
      <c r="C261" t="s">
        <v>545</v>
      </c>
      <c r="D261" s="3" t="str">
        <f t="shared" si="5"/>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62" spans="1:4" hidden="1" x14ac:dyDescent="0.25">
      <c r="A262" t="s">
        <v>579</v>
      </c>
      <c r="B262" t="s">
        <v>627</v>
      </c>
      <c r="C262" t="s">
        <v>545</v>
      </c>
      <c r="D262" s="3" t="str">
        <f t="shared" si="5"/>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63" spans="1:4" hidden="1" x14ac:dyDescent="0.25">
      <c r="A263" t="s">
        <v>580</v>
      </c>
      <c r="B263" t="s">
        <v>628</v>
      </c>
      <c r="C263" t="s">
        <v>545</v>
      </c>
      <c r="D263" s="3" t="str">
        <f t="shared" ref="D263:D294" si="6">"[`" &amp; A263 &amp; "`,``,``,``,``, ``,`"  &amp; B263 &amp; "`, `" &amp; C263 &amp; "`]" &amp; IF(C264&lt;&gt;"",",","")</f>
        <v>[`What are database synonyms? Give an example.`,``,``,``,``, ``,`&lt;p class='space'&gt;A database synonym is the use of different words for the same type of entity, Auto vs car or address vs location.`, `IS380-ch03`],</v>
      </c>
    </row>
    <row r="264" spans="1:4" hidden="1" x14ac:dyDescent="0.25">
      <c r="A264" t="s">
        <v>581</v>
      </c>
      <c r="B264" t="s">
        <v>629</v>
      </c>
      <c r="C264" t="s">
        <v>545</v>
      </c>
      <c r="D264"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65" spans="1:4" hidden="1" x14ac:dyDescent="0.25">
      <c r="A265" t="s">
        <v>582</v>
      </c>
      <c r="B265" t="s">
        <v>630</v>
      </c>
      <c r="C265" t="s">
        <v>567</v>
      </c>
      <c r="D265"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66" spans="1:4" hidden="1" x14ac:dyDescent="0.25">
      <c r="A266" t="s">
        <v>583</v>
      </c>
      <c r="B266" t="s">
        <v>631</v>
      </c>
      <c r="C266" t="s">
        <v>567</v>
      </c>
      <c r="D266" s="3" t="str">
        <f t="shared" si="6"/>
        <v>[`How should relational databases implement the following? - Many to Many relationship`,``,``,``,``, ``,`&lt;p class='space'&gt;create a new entity by using a bridging table.`, `IS380-ch04`],</v>
      </c>
    </row>
    <row r="267" spans="1:4" hidden="1" x14ac:dyDescent="0.25">
      <c r="A267" t="s">
        <v>584</v>
      </c>
      <c r="B267" t="s">
        <v>632</v>
      </c>
      <c r="C267" t="s">
        <v>567</v>
      </c>
      <c r="D267" s="3" t="str">
        <f t="shared" si="6"/>
        <v>[`How should relational databases implement the following? - Multi-valued attributes`,``,``,``,``, ``,`&lt;p class='space'&gt;either create multiple attributes to cover all possibilities or create a new entity using a bridge table to handle multiple values.`, `IS380-ch04`],</v>
      </c>
    </row>
    <row r="268" spans="1:4" x14ac:dyDescent="0.25">
      <c r="A268" t="s">
        <v>585</v>
      </c>
      <c r="B268" t="s">
        <v>633</v>
      </c>
      <c r="C268" t="s">
        <v>567</v>
      </c>
      <c r="D268"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69" spans="1:4" hidden="1" x14ac:dyDescent="0.25">
      <c r="A269" t="s">
        <v>587</v>
      </c>
      <c r="B269" t="s">
        <v>634</v>
      </c>
      <c r="C269" t="s">
        <v>567</v>
      </c>
      <c r="D269"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70" spans="1:4" hidden="1" x14ac:dyDescent="0.25">
      <c r="A270" t="s">
        <v>586</v>
      </c>
      <c r="B270" t="s">
        <v>852</v>
      </c>
      <c r="C270" t="s">
        <v>567</v>
      </c>
      <c r="D270"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71" spans="1:4" x14ac:dyDescent="0.25">
      <c r="A271" t="s">
        <v>588</v>
      </c>
      <c r="B271" t="s">
        <v>853</v>
      </c>
      <c r="C271" t="s">
        <v>567</v>
      </c>
      <c r="D271"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72" spans="1:4" hidden="1" x14ac:dyDescent="0.25">
      <c r="A272" t="s">
        <v>589</v>
      </c>
      <c r="B272" t="s">
        <v>635</v>
      </c>
      <c r="C272" t="s">
        <v>567</v>
      </c>
      <c r="D272" s="3" t="str">
        <f t="shared" si="6"/>
        <v>[`What is a strong entity? Is it the same as a regular entity?`,``,``,``,``, ``,`&lt;p class='space'&gt;An entity that is existence-independent, meaning it can exist apart from all of its related entities. It is also called a regular entity.`, `IS380-ch04`],</v>
      </c>
    </row>
    <row r="273" spans="1:4" hidden="1" x14ac:dyDescent="0.25">
      <c r="A273" t="s">
        <v>590</v>
      </c>
      <c r="B273" t="s">
        <v>636</v>
      </c>
      <c r="C273" t="s">
        <v>567</v>
      </c>
      <c r="D273"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74" spans="1:4" hidden="1" x14ac:dyDescent="0.25">
      <c r="A274" t="s">
        <v>591</v>
      </c>
      <c r="B274" t="s">
        <v>637</v>
      </c>
      <c r="C274" t="s">
        <v>567</v>
      </c>
      <c r="D274" s="3" t="str">
        <f t="shared" si="6"/>
        <v>[`Explain the following in reference to relationships - Connectivity`,``,``,``,``, ``,`&lt;p class='space'&gt;Connectivity is the classification of the relationship between entities.&lt;p class='space'&gt;Classifications include 1:1, 1:M, and M:N`, `IS380-ch04`],</v>
      </c>
    </row>
    <row r="275" spans="1:4" hidden="1" x14ac:dyDescent="0.25">
      <c r="A275" t="s">
        <v>592</v>
      </c>
      <c r="B275" t="s">
        <v>638</v>
      </c>
      <c r="C275" t="s">
        <v>567</v>
      </c>
      <c r="D275"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76" spans="1:4" hidden="1" x14ac:dyDescent="0.25">
      <c r="A276" t="s">
        <v>593</v>
      </c>
      <c r="B276" t="s">
        <v>639</v>
      </c>
      <c r="C276" t="s">
        <v>567</v>
      </c>
      <c r="D276" s="3" t="str">
        <f t="shared" si="6"/>
        <v>[`Explain the following relationships: - Unary`,``,``,``,``, ``,`&lt;p class='space'&gt;A unary relationship is an association within an entity.&lt;p class='space'&gt;For example, an EMPLOYEE might manage another EMPLOYEE both who would show up in an employee table.`, `IS380-ch04`],</v>
      </c>
    </row>
    <row r="277" spans="1:4" hidden="1" x14ac:dyDescent="0.25">
      <c r="A277" s="11" t="s">
        <v>594</v>
      </c>
      <c r="B277" t="s">
        <v>640</v>
      </c>
      <c r="C277" t="s">
        <v>567</v>
      </c>
      <c r="D277" s="3" t="str">
        <f t="shared" si="6"/>
        <v>[`Explain the following relationships: - Binary`,``,``,``,``, ``,`&lt;p class='space'&gt;A binary relationship is an association (relationship) between two entities, most common type of relationship.`, `IS380-ch04`],</v>
      </c>
    </row>
    <row r="278" spans="1:4" hidden="1" x14ac:dyDescent="0.25">
      <c r="A278" t="s">
        <v>595</v>
      </c>
      <c r="B278" t="s">
        <v>641</v>
      </c>
      <c r="C278" t="s">
        <v>567</v>
      </c>
      <c r="D278" s="3" t="str">
        <f t="shared" si="6"/>
        <v>[`Explain the following relationships: - Ternary`,``,``,``,``, ``,`&lt;p class='space'&gt;A ternary relationship is an association (relationship) between three entities.`, `IS380-ch04`],</v>
      </c>
    </row>
    <row r="279" spans="1:4" hidden="1" x14ac:dyDescent="0.25">
      <c r="A279" t="s">
        <v>596</v>
      </c>
      <c r="B279" t="s">
        <v>642</v>
      </c>
      <c r="C279" t="s">
        <v>567</v>
      </c>
      <c r="D279" s="3" t="str">
        <f t="shared" si="6"/>
        <v>[`What three data anomalies are likely to be the result of data redundancy? How can such anomalies be eliminated?`,``,``,``,``, ``,`&lt;p class='space'&gt;Update anomalies, Insertion anomalies, and Deletion anomalies.&lt;p class='space'&gt;They can be eliminated by adequately normalizing the database.`, `IS380-ch04`],</v>
      </c>
    </row>
    <row r="280" spans="1:4" hidden="1" x14ac:dyDescent="0.25">
      <c r="A280" t="s">
        <v>597</v>
      </c>
      <c r="B280" t="s">
        <v>643</v>
      </c>
      <c r="C280" t="s">
        <v>567</v>
      </c>
      <c r="D280" s="3" t="str">
        <f t="shared" si="6"/>
        <v>[`What is normalization? Why do it?`,``,``,``,``, ``,`&lt;p class='space'&gt;Normalization is designing tables to minimize if not eliminate data redundancies.`, `IS380-ch04`],</v>
      </c>
    </row>
    <row r="281" spans="1:4" hidden="1" x14ac:dyDescent="0.25">
      <c r="A281" t="s">
        <v>598</v>
      </c>
      <c r="B281" t="s">
        <v>644</v>
      </c>
      <c r="C281" t="s">
        <v>567</v>
      </c>
      <c r="D281" s="3" t="str">
        <f t="shared" si="6"/>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82" spans="1:4" hidden="1" x14ac:dyDescent="0.25">
      <c r="A282" t="s">
        <v>599</v>
      </c>
      <c r="B282" t="s">
        <v>645</v>
      </c>
      <c r="C282" t="s">
        <v>567</v>
      </c>
      <c r="D282" s="3" t="str">
        <f t="shared" si="6"/>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83" spans="1:4" hidden="1" x14ac:dyDescent="0.25">
      <c r="A283" t="s">
        <v>600</v>
      </c>
      <c r="B283" t="s">
        <v>646</v>
      </c>
      <c r="C283" t="s">
        <v>567</v>
      </c>
      <c r="D283" s="3" t="str">
        <f t="shared" si="6"/>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284" spans="1:4" hidden="1" x14ac:dyDescent="0.25">
      <c r="A284" t="s">
        <v>601</v>
      </c>
      <c r="B284" t="s">
        <v>647</v>
      </c>
      <c r="C284" t="s">
        <v>567</v>
      </c>
      <c r="D284" s="3" t="str">
        <f t="shared" si="6"/>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285" spans="1:4" hidden="1" x14ac:dyDescent="0.25">
      <c r="A285" t="s">
        <v>602</v>
      </c>
      <c r="B285" t="s">
        <v>648</v>
      </c>
      <c r="C285" t="s">
        <v>567</v>
      </c>
      <c r="D285" s="3" t="str">
        <f t="shared" si="6"/>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286" spans="1:4" ht="45" hidden="1" x14ac:dyDescent="0.25">
      <c r="A286" s="11" t="s">
        <v>603</v>
      </c>
      <c r="B286" s="11" t="s">
        <v>604</v>
      </c>
      <c r="C286" s="3" t="s">
        <v>546</v>
      </c>
      <c r="D286" s="3" t="str">
        <f t="shared" si="6"/>
        <v>[`What is an atomic attribute? `,``,``,``,``, ``,`&lt;p class='space'&gt;An attribute that cannot be further subdivided to produce meaningful components. &lt;p class='space'&gt;For example, a person’s last name attribute cannot be meaningfully subdivided. `, `IS380-ch06`],</v>
      </c>
    </row>
    <row r="287" spans="1:4" hidden="1" x14ac:dyDescent="0.25">
      <c r="A287" t="s">
        <v>547</v>
      </c>
      <c r="B287" t="s">
        <v>605</v>
      </c>
      <c r="C287" s="3" t="s">
        <v>546</v>
      </c>
      <c r="D287" s="3" t="str">
        <f t="shared" si="6"/>
        <v>[`denormalization `,``,``,``,``, ``,`&lt;p class='space'&gt;A process by which a table is changed from a higher-level normal form to a lower-level normal form, usually to increase processing speed.&lt;p class='space'&gt;Denormalization potentially yields data anomalies.`, `IS380-ch06`],</v>
      </c>
    </row>
    <row r="288" spans="1:4" ht="30" hidden="1" x14ac:dyDescent="0.25">
      <c r="A288" t="s">
        <v>548</v>
      </c>
      <c r="B288" s="11" t="s">
        <v>606</v>
      </c>
      <c r="C288" s="3" t="s">
        <v>546</v>
      </c>
      <c r="D288" s="3" t="str">
        <f t="shared" si="6"/>
        <v>[`determinant`,``,``,``,``, ``,`&lt;p class='space'&gt;Any attribute in a specific row whose value directly determines other values in that row.`, `IS380-ch06`],</v>
      </c>
    </row>
    <row r="289" spans="1:4" ht="60" hidden="1" x14ac:dyDescent="0.25">
      <c r="A289" t="s">
        <v>549</v>
      </c>
      <c r="B289" s="11" t="s">
        <v>607</v>
      </c>
      <c r="C289" s="3" t="s">
        <v>546</v>
      </c>
      <c r="D289" s="3" t="str">
        <f t="shared" si="6"/>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290" spans="1:4" ht="45" hidden="1" x14ac:dyDescent="0.25">
      <c r="A290" t="s">
        <v>550</v>
      </c>
      <c r="B290" s="11" t="s">
        <v>608</v>
      </c>
      <c r="C290" s="3" t="s">
        <v>546</v>
      </c>
      <c r="D290" s="3" t="str">
        <f t="shared" si="6"/>
        <v>[`second normal form (2NF) `,``,``,``,``, ``,`&lt;p class='space'&gt;The second stage in the normalization process, in which a relation is in 1NF and there are no partial dependencies (dependencies in only part of the primary key).  `, `IS380-ch06`],</v>
      </c>
    </row>
    <row r="291" spans="1:4" ht="45" hidden="1" x14ac:dyDescent="0.25">
      <c r="A291" t="s">
        <v>551</v>
      </c>
      <c r="B291" s="11" t="s">
        <v>609</v>
      </c>
      <c r="C291" s="3" t="s">
        <v>546</v>
      </c>
      <c r="D291" s="3" t="str">
        <f t="shared" si="6"/>
        <v>[`third normal form (3NF) `,``,``,``,``, ``,`&lt;p class='space'&gt;A table is in 3NF when it is in 2NF and no nonkey attribute is functionally dependent on another nonkey attribute; that is, it cannot include transitive dependencies. contain  `, `IS380-ch06`],</v>
      </c>
    </row>
    <row r="292" spans="1:4" hidden="1" x14ac:dyDescent="0.25">
      <c r="A292" t="s">
        <v>552</v>
      </c>
      <c r="B292" t="s">
        <v>649</v>
      </c>
      <c r="C292" s="3" t="s">
        <v>546</v>
      </c>
      <c r="D292" s="3" t="str">
        <f t="shared" si="6"/>
        <v>[`transitive dependency `,``,``,``,``, ``,`&lt;p class='space'&gt;A condition in which an attribute is dependent on another attribute that is not part of the primary key. `, `IS380-ch06`],</v>
      </c>
    </row>
    <row r="293" spans="1:4" hidden="1" x14ac:dyDescent="0.25">
      <c r="A293" t="s">
        <v>553</v>
      </c>
      <c r="B293" t="s">
        <v>650</v>
      </c>
      <c r="C293" s="3" t="s">
        <v>546</v>
      </c>
      <c r="D293" s="3" t="str">
        <f t="shared" si="6"/>
        <v>[`prime attribute `,``,``,``,``, ``,`&lt;p class='space'&gt;A key attribute; that is, an attribute that is part of a key or is the whole key. See also key attributes. `, `IS380-ch06`],</v>
      </c>
    </row>
    <row r="294" spans="1:4" hidden="1" x14ac:dyDescent="0.25">
      <c r="A294" t="s">
        <v>554</v>
      </c>
      <c r="B294" t="s">
        <v>651</v>
      </c>
      <c r="C294" s="3" t="s">
        <v>546</v>
      </c>
      <c r="D294" s="3" t="str">
        <f t="shared" si="6"/>
        <v>[`partial dependency `,``,``,``,``, ``,`&lt;p class='space'&gt;A condition in which an attribute is dependent on only a portion (subset) of the primary key. `, `IS380-ch06`],</v>
      </c>
    </row>
    <row r="295" spans="1:4" hidden="1" x14ac:dyDescent="0.25">
      <c r="A295" t="s">
        <v>555</v>
      </c>
      <c r="B295" t="s">
        <v>610</v>
      </c>
      <c r="C295" s="3" t="s">
        <v>546</v>
      </c>
      <c r="D295" s="3" t="str">
        <f t="shared" ref="D295:D323" si="7">"[`" &amp; A295 &amp; "`,``,``,``,``, ``,`"  &amp; B295 &amp; "`, `" &amp; C295 &amp; "`]" &amp; IF(C296&lt;&gt;"",",","")</f>
        <v>[`granularity`,``,``,``,``, ``,`&lt;p class='space'&gt;The level of detail represented by the values stored in a table’s row.&lt;p class='space'&gt;Data stored at its lowest level of granularity is said to be atomic data.`, `IS380-ch06`],</v>
      </c>
    </row>
    <row r="296" spans="1:4" hidden="1" x14ac:dyDescent="0.25">
      <c r="A296" t="s">
        <v>556</v>
      </c>
      <c r="B296" t="s">
        <v>652</v>
      </c>
      <c r="C296" s="3" t="s">
        <v>546</v>
      </c>
      <c r="D296" s="3" t="str">
        <f t="shared" si="7"/>
        <v>[`key attribute `,``,``,``,``, ``,`&lt;p class='space'&gt;The attributes that form a primary key. See also prime attribute.`, `IS380-ch06`],</v>
      </c>
    </row>
    <row r="297" spans="1:4" ht="30" hidden="1" x14ac:dyDescent="0.25">
      <c r="A297" t="s">
        <v>557</v>
      </c>
      <c r="B297" s="11" t="s">
        <v>611</v>
      </c>
      <c r="C297" s="3" t="s">
        <v>546</v>
      </c>
      <c r="D297" s="3" t="str">
        <f t="shared" si="7"/>
        <v>[`nonkey attribute`,``,``,``,``, ``,`&lt;p class='space'&gt;also called a nonprime attribute&lt;p class='space'&gt;An attribute that is not part of a key. `, `IS380-ch06`],</v>
      </c>
    </row>
    <row r="298" spans="1:4" hidden="1" x14ac:dyDescent="0.25">
      <c r="A298" t="s">
        <v>558</v>
      </c>
      <c r="B298" t="s">
        <v>776</v>
      </c>
      <c r="C298" s="3" t="s">
        <v>546</v>
      </c>
      <c r="D298" s="3" t="str">
        <f t="shared" si="7"/>
        <v>[`normalization`,``,``,``,``, ``,`&lt;p class='space'&gt;A process that assigns attributes to entities so that data redundancies are reduced or eliminated. `, `IS380-ch06`],</v>
      </c>
    </row>
    <row r="299" spans="1:4" hidden="1" x14ac:dyDescent="0.25">
      <c r="A299" t="s">
        <v>559</v>
      </c>
      <c r="B299" t="s">
        <v>653</v>
      </c>
      <c r="C299" s="3" t="s">
        <v>546</v>
      </c>
      <c r="D299" s="3" t="str">
        <f t="shared" si="7"/>
        <v>[`dependency diagram`,``,``,``,``, ``,`&lt;p class='space'&gt;A representation of all data dependencies (primary key, partial, or transitive) within a table.`, `IS380-ch06`],</v>
      </c>
    </row>
    <row r="300" spans="1:4" hidden="1" x14ac:dyDescent="0.25">
      <c r="A300" t="s">
        <v>560</v>
      </c>
      <c r="B300" s="11" t="s">
        <v>612</v>
      </c>
      <c r="C300" s="3" t="s">
        <v>546</v>
      </c>
      <c r="D300" s="3" t="str">
        <f t="shared" si="7"/>
        <v>[`atomicity`,``,``,``,``, ``,`&lt;p class='space'&gt;Not being able to be divided into smaller units.  `, `IS380-ch06`],</v>
      </c>
    </row>
    <row r="301" spans="1:4" hidden="1" x14ac:dyDescent="0.25">
      <c r="A301" t="s">
        <v>561</v>
      </c>
      <c r="B301" t="s">
        <v>613</v>
      </c>
      <c r="C301" s="3" t="s">
        <v>546</v>
      </c>
      <c r="D301" s="3" t="str">
        <f t="shared" si="7"/>
        <v>[`unnormalized data `,``,``,``,``, ``,`&lt;p class='space'&gt;Raw data in its original state; it might contain redundant data, mul-tivalued data, and/or other data anomalies not found on normalized data relations.`, `IS380-ch06`],</v>
      </c>
    </row>
    <row r="302" spans="1:4" hidden="1" x14ac:dyDescent="0.25">
      <c r="A302" t="s">
        <v>705</v>
      </c>
      <c r="B302" t="s">
        <v>824</v>
      </c>
      <c r="C302" s="3" t="s">
        <v>546</v>
      </c>
      <c r="D302" s="3" t="str">
        <f t="shared" si="7"/>
        <v>[`What is a simple attribute?`,``,``,``,``, ``,`&lt;p class='space'&gt;A simple attribute is an attribute that cannot be subdivided&lt;p class='space'&gt;For example, age, sex, and marital status would be classified as simple attributes.`, `IS380-ch06`],</v>
      </c>
    </row>
    <row r="303" spans="1:4" hidden="1" x14ac:dyDescent="0.25">
      <c r="A303" t="s">
        <v>706</v>
      </c>
      <c r="B303" t="s">
        <v>825</v>
      </c>
      <c r="C303" s="3" t="s">
        <v>546</v>
      </c>
      <c r="D303" s="3" t="str">
        <f t="shared" si="7"/>
        <v>[`What is a Composite attribute?`,``,``,``,``, ``,`&lt;p class='space'&gt;Composite - An attribute that can be further subdivided to yield additional attributes.&lt;p class='space'&gt;For example, the attribute ADDRESS can be subdivided into street, city, state, and zip code.`, `IS380-ch06`],</v>
      </c>
    </row>
    <row r="304" spans="1:4" hidden="1" x14ac:dyDescent="0.25">
      <c r="A304" t="s">
        <v>708</v>
      </c>
      <c r="B304" t="s">
        <v>826</v>
      </c>
      <c r="C304" s="3" t="s">
        <v>546</v>
      </c>
      <c r="D304" s="3" t="str">
        <f t="shared" si="7"/>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05" spans="1:4" hidden="1" x14ac:dyDescent="0.25">
      <c r="A305" t="s">
        <v>707</v>
      </c>
      <c r="B305" t="s">
        <v>827</v>
      </c>
      <c r="C305" s="3" t="s">
        <v>546</v>
      </c>
      <c r="D305" s="3" t="str">
        <f t="shared" si="7"/>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06" spans="1:4" hidden="1" x14ac:dyDescent="0.25">
      <c r="A306" t="s">
        <v>709</v>
      </c>
      <c r="B306" t="s">
        <v>718</v>
      </c>
      <c r="C306" t="s">
        <v>567</v>
      </c>
      <c r="D306" s="3" t="str">
        <f t="shared" si="7"/>
        <v>[`What is A derived attribute?`,``,``,``,``, ``,`&lt;p class='space'&gt;Derived – A derived attribute is one that is calculated from 1 or more other attributes.`, `IS380-ch04`],</v>
      </c>
    </row>
    <row r="307" spans="1:4" hidden="1" x14ac:dyDescent="0.25">
      <c r="A307" t="s">
        <v>582</v>
      </c>
      <c r="B307" t="s">
        <v>818</v>
      </c>
      <c r="C307" t="s">
        <v>567</v>
      </c>
      <c r="D307" s="3" t="str">
        <f t="shared" si="7"/>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08" spans="1:4" hidden="1" x14ac:dyDescent="0.25">
      <c r="A308" t="s">
        <v>710</v>
      </c>
      <c r="B308" t="s">
        <v>719</v>
      </c>
      <c r="C308" s="3" t="s">
        <v>546</v>
      </c>
      <c r="D308" s="3" t="str">
        <f t="shared" si="7"/>
        <v>[`How should relational databases implement a Many to Many relationship?`,``,``,``,``, ``,`&lt;p class='space'&gt;Create a new entity by using a bridging table.`, `IS380-ch06`],</v>
      </c>
    </row>
    <row r="309" spans="1:4" hidden="1" x14ac:dyDescent="0.25">
      <c r="A309" t="s">
        <v>711</v>
      </c>
      <c r="B309" t="s">
        <v>828</v>
      </c>
      <c r="C309" s="3" t="s">
        <v>546</v>
      </c>
      <c r="D309" s="3" t="str">
        <f t="shared" si="7"/>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10" spans="1:4" x14ac:dyDescent="0.25">
      <c r="C310" s="3"/>
      <c r="D310" s="3"/>
    </row>
    <row r="311" spans="1:4" hidden="1" x14ac:dyDescent="0.25">
      <c r="A311" t="s">
        <v>600</v>
      </c>
      <c r="B311" t="s">
        <v>646</v>
      </c>
      <c r="C311" s="3" t="s">
        <v>546</v>
      </c>
      <c r="D311"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12" spans="1:4" hidden="1" x14ac:dyDescent="0.25">
      <c r="A312" t="s">
        <v>596</v>
      </c>
      <c r="B312" t="s">
        <v>766</v>
      </c>
      <c r="C312" s="3" t="s">
        <v>546</v>
      </c>
      <c r="D312" s="3" t="str">
        <f t="shared" si="7"/>
        <v>[`What three data anomalies are likely to be the result of data redundancy? How can such anomalies be eliminated?`,``,``,``,``, ``,`&lt;p class='space'&gt;Update anomalies, Insertion anomalies, and Deletion anomalies. &lt;p class='space'&gt;They can be eliminated by adequately normalizing the database.`, `IS380-ch06`],</v>
      </c>
    </row>
    <row r="313" spans="1:4" hidden="1" x14ac:dyDescent="0.25">
      <c r="A313" t="s">
        <v>602</v>
      </c>
      <c r="B313" t="s">
        <v>767</v>
      </c>
      <c r="C313" s="3" t="s">
        <v>546</v>
      </c>
      <c r="D313"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14" spans="1:4" hidden="1" x14ac:dyDescent="0.25">
      <c r="C314" s="3" t="s">
        <v>546</v>
      </c>
      <c r="D314" s="3" t="str">
        <f t="shared" si="7"/>
        <v>[``,``,``,``,``, ``,``, `IS380-ch06`],</v>
      </c>
    </row>
    <row r="315" spans="1:4" hidden="1" x14ac:dyDescent="0.25">
      <c r="C315" s="3" t="s">
        <v>546</v>
      </c>
      <c r="D315" s="3" t="str">
        <f t="shared" si="7"/>
        <v>[``,``,``,``,``, ``,``, `IS380-ch06`],</v>
      </c>
    </row>
    <row r="316" spans="1:4" hidden="1" x14ac:dyDescent="0.25">
      <c r="C316" s="3" t="s">
        <v>546</v>
      </c>
      <c r="D316" s="3" t="str">
        <f t="shared" si="7"/>
        <v>[``,``,``,``,``, ``,``, `IS380-ch06`],</v>
      </c>
    </row>
    <row r="317" spans="1:4" hidden="1" x14ac:dyDescent="0.25">
      <c r="C317" s="3" t="s">
        <v>546</v>
      </c>
      <c r="D317" s="3" t="str">
        <f t="shared" si="7"/>
        <v>[``,``,``,``,``, ``,``, `IS380-ch06`],</v>
      </c>
    </row>
    <row r="318" spans="1:4" hidden="1" x14ac:dyDescent="0.25">
      <c r="C318" s="3" t="s">
        <v>546</v>
      </c>
      <c r="D318" s="3" t="str">
        <f t="shared" si="7"/>
        <v>[``,``,``,``,``, ``,``, `IS380-ch06`],</v>
      </c>
    </row>
    <row r="319" spans="1:4" hidden="1" x14ac:dyDescent="0.25">
      <c r="C319" s="3" t="s">
        <v>546</v>
      </c>
      <c r="D319" s="3" t="str">
        <f t="shared" si="7"/>
        <v>[``,``,``,``,``, ``,``, `IS380-ch06`],</v>
      </c>
    </row>
    <row r="320" spans="1:4" hidden="1" x14ac:dyDescent="0.25">
      <c r="C320" s="3" t="s">
        <v>546</v>
      </c>
      <c r="D320" s="3" t="e">
        <f>"[`" &amp; A320 &amp; "`,``,``,``,``, ``,`"  &amp; B320 &amp; "`, `" &amp; C320 &amp; "`]" &amp; IF(#REF!&lt;&gt;"",",","")</f>
        <v>#REF!</v>
      </c>
    </row>
    <row r="321" spans="1:4" x14ac:dyDescent="0.25">
      <c r="C321" s="3"/>
      <c r="D321" s="3"/>
    </row>
    <row r="322" spans="1:4" hidden="1" x14ac:dyDescent="0.25">
      <c r="A322" t="s">
        <v>590</v>
      </c>
      <c r="B322" t="s">
        <v>768</v>
      </c>
      <c r="C322" s="3" t="s">
        <v>546</v>
      </c>
      <c r="D322" s="3" t="str">
        <f t="shared" si="7"/>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23" spans="1:4" hidden="1" x14ac:dyDescent="0.25">
      <c r="A323" t="s">
        <v>753</v>
      </c>
      <c r="B323" t="s">
        <v>769</v>
      </c>
      <c r="C323" s="3" t="s">
        <v>546</v>
      </c>
      <c r="D323" s="3" t="str">
        <f t="shared" si="7"/>
        <v>[`Connectivity is:`,``,``,``,``, ``,`&lt;p class='space'&gt;Connectivity is the classification of the relationship between entities. &lt;p class='space'&gt;Classifications include 1:1, 1:M, and M:N.`, `IS380-ch06`],</v>
      </c>
    </row>
    <row r="324" spans="1:4" hidden="1" x14ac:dyDescent="0.25">
      <c r="A324" t="s">
        <v>754</v>
      </c>
      <c r="B324" t="s">
        <v>851</v>
      </c>
      <c r="C324" s="3" t="s">
        <v>546</v>
      </c>
      <c r="D324" s="3" t="str">
        <f t="shared" ref="D324:D355" si="8">"[`" &amp; A324 &amp; "`,``,``,``,``, ``,`"  &amp; B324 &amp; "`, `" &amp; C324 &amp; "`]" &amp; IF(C325&lt;&gt;"",",","")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`IS380-ch06`],</v>
      </c>
    </row>
    <row r="325" spans="1:4" hidden="1" x14ac:dyDescent="0.25">
      <c r="A325" t="s">
        <v>756</v>
      </c>
      <c r="B325" t="s">
        <v>759</v>
      </c>
      <c r="C325" s="3" t="s">
        <v>546</v>
      </c>
      <c r="D325" s="3" t="str">
        <f t="shared" si="8"/>
        <v>[`Explain the following relationships: Binary`,``,``,``,``, ``,`A binary relationship is an association (relationship) between two entities, most common type of relationship.`, `IS380-ch06`],</v>
      </c>
    </row>
    <row r="326" spans="1:4" hidden="1" x14ac:dyDescent="0.25">
      <c r="A326" t="s">
        <v>755</v>
      </c>
      <c r="B326" t="s">
        <v>760</v>
      </c>
      <c r="C326" s="3" t="s">
        <v>546</v>
      </c>
      <c r="D326" s="3" t="str">
        <f t="shared" si="8"/>
        <v>[`Explain the following relationships: Unary`,``,``,``,``, ``,`A unary relationship is an association within an entity. For example, an EMPLOYEE might manage another EMPLOYEE both who would show up in an employee table.`, `IS380-ch06`],</v>
      </c>
    </row>
    <row r="327" spans="1:4" hidden="1" x14ac:dyDescent="0.25">
      <c r="A327" t="s">
        <v>757</v>
      </c>
      <c r="B327" t="s">
        <v>758</v>
      </c>
      <c r="C327" s="3" t="s">
        <v>546</v>
      </c>
      <c r="D327" s="3" t="str">
        <f t="shared" si="8"/>
        <v>[`Explain the following relationships: Ternary`,``,``,``,``, ``,`A ternary relationship is an association (relationship) between three entities.`, `IS380-ch06`],</v>
      </c>
    </row>
    <row r="328" spans="1:4" ht="30" hidden="1" x14ac:dyDescent="0.25">
      <c r="A328" t="s">
        <v>597</v>
      </c>
      <c r="B328" s="11" t="s">
        <v>643</v>
      </c>
      <c r="C328" s="3" t="s">
        <v>546</v>
      </c>
      <c r="D328" s="3" t="str">
        <f t="shared" si="8"/>
        <v>[`What is normalization? Why do it?`,``,``,``,``, ``,`&lt;p class='space'&gt;Normalization is designing tables to minimize if not eliminate data redundancies.`, `IS380-ch06`],</v>
      </c>
    </row>
    <row r="329" spans="1:4" ht="75" hidden="1" x14ac:dyDescent="0.25">
      <c r="A329" t="s">
        <v>598</v>
      </c>
      <c r="B329" s="11" t="s">
        <v>770</v>
      </c>
      <c r="C329" s="3" t="s">
        <v>546</v>
      </c>
      <c r="D329" s="3" t="str">
        <f t="shared" si="8"/>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30" spans="1:4" hidden="1" x14ac:dyDescent="0.25">
      <c r="A330" t="s">
        <v>599</v>
      </c>
      <c r="B330" t="s">
        <v>771</v>
      </c>
      <c r="C330" s="3" t="s">
        <v>546</v>
      </c>
      <c r="D330" s="3" t="str">
        <f t="shared" si="8"/>
        <v>[`What is denormalization? Why do it?`,``,``,``,``, ``,`&lt;p class='space'&gt;Denormalization is a process by which a table is changed from a higher-level normal form to a lower-level normal form. It may be considered to improve the processing speed for complex or common queries.`, `IS380-ch06`],</v>
      </c>
    </row>
    <row r="331" spans="1:4" hidden="1" x14ac:dyDescent="0.25">
      <c r="A331" t="s">
        <v>761</v>
      </c>
      <c r="B331" t="s">
        <v>772</v>
      </c>
      <c r="C331" s="3" t="s">
        <v>546</v>
      </c>
      <c r="D331" s="3" t="str">
        <f t="shared" si="8"/>
        <v>[`What is 1NF?`,``,``,``,``, ``,`&lt;p class='space'&gt;1NF, means first normal from. This means the data is in table format, and there are no repeating groups, and the primary keys has been identified`, `IS380-ch06`],</v>
      </c>
    </row>
    <row r="332" spans="1:4" hidden="1" x14ac:dyDescent="0.25">
      <c r="A332" t="s">
        <v>762</v>
      </c>
      <c r="B332" t="s">
        <v>773</v>
      </c>
      <c r="C332" s="3" t="s">
        <v>546</v>
      </c>
      <c r="D332" s="3" t="str">
        <f t="shared" si="8"/>
        <v>[`What is 2NF?`,``,``,``,``, ``,`&lt;p class='space'&gt;Second normal form (2NF), which means the data is 1NF and there are no partial dependencies`, `IS380-ch06`],</v>
      </c>
    </row>
    <row r="333" spans="1:4" hidden="1" x14ac:dyDescent="0.25">
      <c r="A333" t="s">
        <v>763</v>
      </c>
      <c r="B333" t="s">
        <v>774</v>
      </c>
      <c r="C333" s="3" t="s">
        <v>546</v>
      </c>
      <c r="D333" s="3" t="str">
        <f t="shared" si="8"/>
        <v>[`What is 3NF?`,``,``,``,``, ``,`&lt;p class='space'&gt;Third normal form (3NF), which means 2NF and no transitive dependencies`, `IS380-ch06`],</v>
      </c>
    </row>
    <row r="334" spans="1:4" hidden="1" x14ac:dyDescent="0.25">
      <c r="A334" t="s">
        <v>764</v>
      </c>
      <c r="B334" t="s">
        <v>775</v>
      </c>
      <c r="C334" s="3" t="s">
        <v>546</v>
      </c>
      <c r="D334" s="3" t="str">
        <f t="shared" si="8"/>
        <v>[`What is a partial dependency?`,``,``,``,``, ``,`&lt;p class='space'&gt;A partial dependency is a condition in which an attribute is dependent on only a portion (subset) of the primary key.`, `IS380-ch06`],</v>
      </c>
    </row>
    <row r="335" spans="1:4" hidden="1" x14ac:dyDescent="0.25">
      <c r="A335" s="3" t="s">
        <v>663</v>
      </c>
      <c r="B335" s="3" t="s">
        <v>684</v>
      </c>
      <c r="C335" s="3" t="s">
        <v>662</v>
      </c>
      <c r="D335" s="3" t="str">
        <f>"[`" &amp; A335 &amp; "`,``,``,``,``, ``,`"  &amp; B335 &amp; "`, `" &amp; C335 &amp; "`],"</f>
        <v>[`DML`,``,``,``,``, ``,`&lt;p class='space'&gt;data manipulation language (DML).&lt;p class='space'&gt;SQL is a DML- it includes commands to insert, update, delete data within the database tables. `, `IS380-CH7`],</v>
      </c>
    </row>
    <row r="336" spans="1:4" hidden="1" x14ac:dyDescent="0.25">
      <c r="A336" s="3" t="s">
        <v>664</v>
      </c>
      <c r="B336" s="3" t="s">
        <v>685</v>
      </c>
      <c r="C336" s="3" t="s">
        <v>662</v>
      </c>
      <c r="D336" s="3" t="str">
        <f>"[`" &amp; A336 &amp; "`,``,``,``,``, ``,`"  &amp; B336 &amp; "`, `" &amp; C336 &amp; "`],"</f>
        <v>[`DDL`,``,``,``,``, ``,`&lt;p class='space'&gt;Data definition language (DDL). &lt;p class='space'&gt;SQL includes commands to create database objects (CREATE, ALTER, DROP, RENAME, TRUNCATE) such as tables, indexes, and views, as well as commands to define access rights to those database objects.`, `IS380-CH7`],</v>
      </c>
    </row>
    <row r="337" spans="1:4" hidden="1" x14ac:dyDescent="0.25">
      <c r="A337" s="3" t="s">
        <v>665</v>
      </c>
      <c r="B337" s="3" t="s">
        <v>686</v>
      </c>
      <c r="C337" s="3" t="s">
        <v>662</v>
      </c>
      <c r="D337" s="3" t="str">
        <f>"[`" &amp; A337 &amp; "`,``,``,``,``, ``,`"  &amp; B337 &amp; "`, `" &amp; C337 &amp; "`],"</f>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38" spans="1:4" ht="30" hidden="1" x14ac:dyDescent="0.25">
      <c r="A338" s="3" t="s">
        <v>666</v>
      </c>
      <c r="B338" s="5" t="s">
        <v>687</v>
      </c>
      <c r="C338" s="3" t="s">
        <v>662</v>
      </c>
      <c r="D338" s="3" t="str">
        <f>"[`" &amp; A338 &amp; "`,``,``,``,``, ``,`"  &amp; B338 &amp; "`, `" &amp; C338 &amp; "`],"</f>
        <v>[`TCL`,``,``,``,``, ``,`&lt;p class='space'&gt;Transaction Control Language (TCL) - COMMIT, ROLLBACK, SAVEPOINT `, `IS380-CH7`],</v>
      </c>
    </row>
    <row r="339" spans="1:4" ht="30" hidden="1" x14ac:dyDescent="0.25">
      <c r="A339" s="3" t="s">
        <v>667</v>
      </c>
      <c r="B339" s="5" t="s">
        <v>688</v>
      </c>
      <c r="C339" s="3" t="s">
        <v>662</v>
      </c>
      <c r="D339" s="3" t="str">
        <f>"[`" &amp; A339 &amp; "`,``,``,``,``, ``,`"  &amp; B339 &amp; "`, `" &amp; C339 &amp; "`],"</f>
        <v>[`DCL`,``,``,``,``, ``,`&lt;p class='space'&gt;Data Control Language (DCL) - GRANT, REVOKE -&lt;p class='space'&gt;used to control access to database objects. `, `IS380-CH7`],</v>
      </c>
    </row>
    <row r="340" spans="1:4" hidden="1" x14ac:dyDescent="0.25">
      <c r="A340" t="s">
        <v>713</v>
      </c>
      <c r="B340" t="s">
        <v>720</v>
      </c>
      <c r="C340" s="3" t="s">
        <v>712</v>
      </c>
      <c r="D340" s="3" t="str">
        <f t="shared" ref="D340:D357" si="9">"[`" &amp; A340 &amp; "`,``,``,``,``, ``,`"  &amp; B340 &amp; "`, `" &amp; C340 &amp; "`]" &amp; IF(C341&lt;&gt;"",",","")</f>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41" spans="1:4" hidden="1" x14ac:dyDescent="0.25">
      <c r="A341" t="s">
        <v>714</v>
      </c>
      <c r="B341" t="s">
        <v>721</v>
      </c>
      <c r="C341" s="3" t="s">
        <v>712</v>
      </c>
      <c r="D341" s="3" t="str">
        <f t="shared" si="9"/>
        <v>[`Social loafing is:`,``,``,``,``, ``,`&lt;p class='space'&gt;Social loafing is the tendency for individual effort to decline as group size increases. `, `HRM360-CH08`],</v>
      </c>
    </row>
    <row r="342" spans="1:4" hidden="1" x14ac:dyDescent="0.25">
      <c r="A342" t="s">
        <v>715</v>
      </c>
      <c r="B342" t="s">
        <v>722</v>
      </c>
      <c r="C342" s="3" t="s">
        <v>712</v>
      </c>
      <c r="D342" s="3" t="str">
        <f t="shared" si="9"/>
        <v>[`Anything that interferes with the transmission and understanding of a message. `,``,``,``,``, ``,`&lt;p class='space'&gt;Noise is anything that interferes with the transmission and understanding of a message. `, `HRM360-CH08`],</v>
      </c>
    </row>
    <row r="343" spans="1:4" hidden="1" x14ac:dyDescent="0.25">
      <c r="A343" t="s">
        <v>716</v>
      </c>
      <c r="B343" t="s">
        <v>723</v>
      </c>
      <c r="C343" s="3" t="s">
        <v>726</v>
      </c>
      <c r="D343" s="3" t="str">
        <f t="shared" si="9"/>
        <v>[`Crucial conversations are?`,``,``,``,``, ``,`&lt;p class='space'&gt;Crucial conversations are discussions between two or more people where &lt;p class='space'&gt;(1) the stakes are high, &lt;p class='space'&gt;(2) opinions vary, and &lt;p class='space'&gt;(3) emotions run strong.`, `HRM360-CH09`],</v>
      </c>
    </row>
    <row r="344" spans="1:4" ht="285" hidden="1" x14ac:dyDescent="0.25">
      <c r="A344" t="s">
        <v>717</v>
      </c>
      <c r="B344" s="11" t="s">
        <v>724</v>
      </c>
      <c r="C344" s="3" t="s">
        <v>726</v>
      </c>
      <c r="D344" s="3" t="str">
        <f t="shared" si="9"/>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45" spans="1:4" ht="75" hidden="1" x14ac:dyDescent="0.25">
      <c r="A345" t="s">
        <v>725</v>
      </c>
      <c r="B345" s="11" t="s">
        <v>740</v>
      </c>
      <c r="C345" s="3" t="s">
        <v>726</v>
      </c>
      <c r="D345" s="3" t="str">
        <f t="shared" si="9"/>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46" spans="1:4" hidden="1" x14ac:dyDescent="0.25">
      <c r="A346" t="s">
        <v>727</v>
      </c>
      <c r="B346" t="s">
        <v>741</v>
      </c>
      <c r="C346" s="3" t="s">
        <v>726</v>
      </c>
      <c r="D346" s="3" t="str">
        <f t="shared" si="9"/>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47" spans="1:4" hidden="1" x14ac:dyDescent="0.25">
      <c r="A347" t="s">
        <v>731</v>
      </c>
      <c r="B347" t="s">
        <v>742</v>
      </c>
      <c r="C347" s="3" t="s">
        <v>726</v>
      </c>
      <c r="D347" s="3" t="str">
        <f t="shared" si="9"/>
        <v>[`occurs when people perceive they are being attacked or threatened.`,``,``,``,``, ``,`&lt;p class='space'&gt;Defensiveness occurs when people perceive they are being attacked or threatened.`, `HRM360-CH09`],</v>
      </c>
    </row>
    <row r="348" spans="1:4" hidden="1" x14ac:dyDescent="0.25">
      <c r="A348" t="s">
        <v>728</v>
      </c>
      <c r="B348" t="s">
        <v>743</v>
      </c>
      <c r="C348" s="3" t="s">
        <v>726</v>
      </c>
      <c r="D348" s="3" t="str">
        <f t="shared" si="9"/>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49" spans="1:4" hidden="1" x14ac:dyDescent="0.25">
      <c r="A349" t="s">
        <v>734</v>
      </c>
      <c r="B349" t="s">
        <v>744</v>
      </c>
      <c r="C349" s="3" t="s">
        <v>733</v>
      </c>
      <c r="D349" s="3" t="str">
        <f t="shared" si="9"/>
        <v>[`suggests that the more members of different groups interact, the less intergroup conflict they will experience. `,``,``,``,``, ``,`&lt;p class='space'&gt; contact hypothesis `, `HRM360-CH10`],</v>
      </c>
    </row>
    <row r="350" spans="1:4" hidden="1" x14ac:dyDescent="0.25">
      <c r="A350" t="s">
        <v>729</v>
      </c>
      <c r="B350" t="s">
        <v>745</v>
      </c>
      <c r="C350" s="3" t="s">
        <v>726</v>
      </c>
      <c r="D350" s="3" t="str">
        <f t="shared" si="9"/>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51" spans="1:4" hidden="1" x14ac:dyDescent="0.25">
      <c r="A351" t="s">
        <v>736</v>
      </c>
      <c r="B351" t="s">
        <v>746</v>
      </c>
      <c r="C351" s="3" t="s">
        <v>733</v>
      </c>
      <c r="D351" s="3" t="str">
        <f t="shared" si="9"/>
        <v>[`Negotiation is`,``,``,``,``, ``,`&lt;p class='space'&gt; a give-and-take decision-making process between two or more parties with different preferences. `, `HRM360-CH10`],</v>
      </c>
    </row>
    <row r="352" spans="1:4" hidden="1" x14ac:dyDescent="0.25">
      <c r="A352" t="s">
        <v>730</v>
      </c>
      <c r="B352" t="s">
        <v>747</v>
      </c>
      <c r="C352" s="3" t="s">
        <v>726</v>
      </c>
      <c r="D352" s="3" t="str">
        <f t="shared" si="9"/>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53" spans="1:4" hidden="1" x14ac:dyDescent="0.25">
      <c r="A353" t="s">
        <v>732</v>
      </c>
      <c r="B353" t="s">
        <v>748</v>
      </c>
      <c r="C353" s="3" t="s">
        <v>733</v>
      </c>
      <c r="D353" s="3" t="str">
        <f t="shared" si="9"/>
        <v>[`personality conflict`,``,``,``,``, ``,`&lt;p class='space'&gt; personality conflict is interpersonal opposition based on personal dislike or disagreement.`, `HRM360-CH10`],</v>
      </c>
    </row>
    <row r="354" spans="1:4" hidden="1" x14ac:dyDescent="0.25">
      <c r="A354" t="s">
        <v>735</v>
      </c>
      <c r="B354" t="s">
        <v>749</v>
      </c>
      <c r="C354" s="3" t="s">
        <v>733</v>
      </c>
      <c r="D354" s="3" t="str">
        <f t="shared" si="9"/>
        <v>[`assigns someone the role of critic. `,``,``,``,``, ``,`&lt;p class='space'&gt;devil’s advocacy assigns someone the role of critic. `, `HRM360-CH10`],</v>
      </c>
    </row>
    <row r="355" spans="1:4" hidden="1" x14ac:dyDescent="0.25">
      <c r="A355" t="s">
        <v>737</v>
      </c>
      <c r="B355" t="s">
        <v>750</v>
      </c>
      <c r="C355" s="3" t="s">
        <v>733</v>
      </c>
      <c r="D355" s="3" t="str">
        <f t="shared" si="9"/>
        <v>[`usually concerns a single issue—a “fixed pie”—in which one person gains at the expense of another`,``,``,``,``, ``,`&lt;p class='space'&gt; distributive negotiation `, `HRM360-CH10`],</v>
      </c>
    </row>
    <row r="356" spans="1:4" hidden="1" x14ac:dyDescent="0.25">
      <c r="A356" t="s">
        <v>738</v>
      </c>
      <c r="B356" t="s">
        <v>751</v>
      </c>
      <c r="C356" s="3" t="s">
        <v>733</v>
      </c>
      <c r="D356" s="3" t="str">
        <f t="shared" si="9"/>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57" spans="1:4" ht="195" hidden="1" x14ac:dyDescent="0.25">
      <c r="A357" t="s">
        <v>739</v>
      </c>
      <c r="B357" s="11" t="s">
        <v>752</v>
      </c>
      <c r="C357" s="3" t="s">
        <v>733</v>
      </c>
      <c r="D357" s="3" t="str">
        <f t="shared" si="9"/>
        <v>[`Conflict escalation often exhibits these five characteristics:`,``,``,``,``, ``,`&lt;p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 `HRM360-CH10`],</v>
      </c>
    </row>
    <row r="358" spans="1:4" hidden="1" x14ac:dyDescent="0.25">
      <c r="A358" s="3" t="s">
        <v>668</v>
      </c>
      <c r="B358" s="3" t="s">
        <v>689</v>
      </c>
      <c r="C358" s="3" t="s">
        <v>662</v>
      </c>
      <c r="D358" s="3" t="str">
        <f t="shared" ref="D358:D373" si="10">"[`" &amp; A358 &amp; "`,``,``,``,``, ``,`"  &amp; B358 &amp; "`, `" &amp; C358 &amp; "`],"</f>
        <v>[`SQL`,``,``,``,``, ``,`&lt;p class='space'&gt;Structured Query Language&lt;p class='space'&gt;Its basic command set has a vocabulary of fewer than 100 words.&lt;p class='space'&gt;ANSI SQL standard`, `IS380-CH7`],</v>
      </c>
    </row>
    <row r="359" spans="1:4" hidden="1" x14ac:dyDescent="0.25">
      <c r="A359" s="3" t="s">
        <v>669</v>
      </c>
      <c r="B359" s="3" t="s">
        <v>690</v>
      </c>
      <c r="C359" s="3" t="s">
        <v>662</v>
      </c>
      <c r="D359" s="3" t="str">
        <f t="shared" si="10"/>
        <v>[`Three fundament types of data`,``,``,``,``, ``,`&lt;p class='space'&gt;character data, &lt;p class='space'&gt;numeric data,&lt;p class='space'&gt;date data.`, `IS380-CH7`],</v>
      </c>
    </row>
    <row r="360" spans="1:4" ht="75" hidden="1" x14ac:dyDescent="0.25">
      <c r="A360" s="3" t="s">
        <v>670</v>
      </c>
      <c r="B360" s="5" t="s">
        <v>691</v>
      </c>
      <c r="C360" s="3" t="s">
        <v>662</v>
      </c>
      <c r="D360" s="3" t="str">
        <f t="shared" si="1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61" spans="1:4" ht="30" hidden="1" x14ac:dyDescent="0.25">
      <c r="A361" s="3" t="s">
        <v>671</v>
      </c>
      <c r="B361" s="5" t="s">
        <v>692</v>
      </c>
      <c r="C361" s="3" t="s">
        <v>662</v>
      </c>
      <c r="D361" s="3" t="str">
        <f t="shared" si="10"/>
        <v>[`A computed column`,``,``,``,``, ``,`&lt;p class='space'&gt;A computed column (also called a calculated column) represents a derived attribute,  `, `IS380-CH7`],</v>
      </c>
    </row>
    <row r="362" spans="1:4" hidden="1" x14ac:dyDescent="0.25">
      <c r="A362" s="3" t="s">
        <v>672</v>
      </c>
      <c r="B362" s="3" t="s">
        <v>693</v>
      </c>
      <c r="C362" s="3" t="s">
        <v>662</v>
      </c>
      <c r="D362" s="3" t="str">
        <f t="shared" si="10"/>
        <v>[`natural join`,``,``,``,``, ``,`&lt;p class='space'&gt;natural join returns all rows with matching values in the matching columns and eliminates duplicate columns.`, `IS380-CH7`],</v>
      </c>
    </row>
    <row r="363" spans="1:4" ht="135" hidden="1" x14ac:dyDescent="0.25">
      <c r="A363" s="3" t="s">
        <v>677</v>
      </c>
      <c r="B363" s="5" t="s">
        <v>694</v>
      </c>
      <c r="C363" s="3" t="s">
        <v>662</v>
      </c>
      <c r="D363" s="3" t="str">
        <f t="shared" si="1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64" spans="1:4" ht="15.75" hidden="1" x14ac:dyDescent="0.25">
      <c r="A364" s="3" t="s">
        <v>673</v>
      </c>
      <c r="B364" s="10" t="s">
        <v>695</v>
      </c>
      <c r="C364" s="3" t="s">
        <v>662</v>
      </c>
      <c r="D364" s="3" t="str">
        <f t="shared" si="10"/>
        <v>[`cross join`,``,``,``,``, ``,`&lt;p class='space'&gt;cross join performs a relational product (also known as the Cartesian product) of two tables`, `IS380-CH7`],</v>
      </c>
    </row>
    <row r="365" spans="1:4" ht="30" hidden="1" x14ac:dyDescent="0.25">
      <c r="A365" s="3" t="s">
        <v>674</v>
      </c>
      <c r="B365" s="5" t="s">
        <v>696</v>
      </c>
      <c r="C365" s="3" t="s">
        <v>662</v>
      </c>
      <c r="D365" s="3" t="str">
        <f t="shared" si="10"/>
        <v>[`recursive query `,``,``,``,``, ``,`&lt;p class='space'&gt;recursive query&lt;p class='space'&gt;A query that joins a table to itself. `, `IS380-CH7`],</v>
      </c>
    </row>
    <row r="366" spans="1:4" ht="45" hidden="1" x14ac:dyDescent="0.25">
      <c r="A366" s="3" t="s">
        <v>675</v>
      </c>
      <c r="B366" s="5" t="s">
        <v>697</v>
      </c>
      <c r="C366" s="3" t="s">
        <v>662</v>
      </c>
      <c r="D366" s="3" t="str">
        <f t="shared" si="10"/>
        <v>[`WHERE`,``,``,``,``, ``,`&lt;p class='space'&gt;where&lt;p class='space'&gt;A SQL clause that adds conditional restrictions to a SELECT statement that limit the rows returned by the query `, `IS380-CH7`],</v>
      </c>
    </row>
    <row r="367" spans="1:4" hidden="1" x14ac:dyDescent="0.25">
      <c r="A367" s="3" t="s">
        <v>676</v>
      </c>
      <c r="B367" s="3" t="s">
        <v>698</v>
      </c>
      <c r="C367" s="3" t="s">
        <v>662</v>
      </c>
      <c r="D367" s="3" t="str">
        <f t="shared" si="10"/>
        <v>[`boolean algebra`,``,``,``,``, ``,`&lt;p class='space'&gt;boolean algebra&lt;p class='space'&gt;is dedicated to the use of logical operators`, `IS380-CH7`],</v>
      </c>
    </row>
    <row r="368" spans="1:4" hidden="1" x14ac:dyDescent="0.25">
      <c r="A368" s="3" t="s">
        <v>678</v>
      </c>
      <c r="B368" s="3" t="s">
        <v>699</v>
      </c>
      <c r="C368" s="3" t="s">
        <v>662</v>
      </c>
      <c r="D368" s="3" t="str">
        <f t="shared" si="10"/>
        <v>[`The number of join conditions `,``,``,``,``, ``,`&lt;p class='space'&gt;is always equal to the number of tables being joined minus one.`, `IS380-CH7`],</v>
      </c>
    </row>
    <row r="369" spans="1:4" hidden="1" x14ac:dyDescent="0.25">
      <c r="A369" s="3" t="s">
        <v>679</v>
      </c>
      <c r="B369" s="3" t="s">
        <v>700</v>
      </c>
      <c r="C369" s="3" t="s">
        <v>662</v>
      </c>
      <c r="D369"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370" spans="1:4" hidden="1" x14ac:dyDescent="0.25">
      <c r="A370" s="3" t="s">
        <v>680</v>
      </c>
      <c r="B370" s="3" t="s">
        <v>701</v>
      </c>
      <c r="C370" s="3" t="s">
        <v>662</v>
      </c>
      <c r="D370"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71" spans="1:4" hidden="1" x14ac:dyDescent="0.25">
      <c r="A371" s="3" t="s">
        <v>681</v>
      </c>
      <c r="B371" s="3" t="s">
        <v>702</v>
      </c>
      <c r="C371" s="3" t="s">
        <v>662</v>
      </c>
      <c r="D371" s="3" t="str">
        <f t="shared" si="10"/>
        <v>[`COUNT`,``,``,``,``, ``,`&lt;p class='space'&gt;Count, A SQL aggregate function that outputs the number of rows containing not null values for a given column or expression, sometimes used in conjunction with the DISTINCT clause`, `IS380-CH7`],</v>
      </c>
    </row>
    <row r="372" spans="1:4" ht="30" hidden="1" x14ac:dyDescent="0.25">
      <c r="A372" s="3" t="s">
        <v>682</v>
      </c>
      <c r="B372" s="5" t="s">
        <v>703</v>
      </c>
      <c r="C372" s="3" t="s">
        <v>662</v>
      </c>
      <c r="D372" s="3" t="str">
        <f t="shared" si="10"/>
        <v>[`correlated subquery`,``,``,``,``, ``,`&lt;p class='space'&gt;correlated subquery A subquery that executes once for each row in the outer query.`, `IS380-CH7`],</v>
      </c>
    </row>
    <row r="373" spans="1:4" hidden="1" x14ac:dyDescent="0.25">
      <c r="A373" s="3" t="s">
        <v>683</v>
      </c>
      <c r="B373" s="3" t="s">
        <v>704</v>
      </c>
      <c r="C373" s="3" t="s">
        <v>662</v>
      </c>
      <c r="D373" s="3" t="str">
        <f t="shared" si="10"/>
        <v>[`EXISTS`,``,``,``,``, ``,`&lt;p class='space'&gt;EXISTS In SQL, a comparison operator that checks whether a subquery returns any rows`, `IS380-CH7`],</v>
      </c>
    </row>
    <row r="374" spans="1:4" hidden="1" x14ac:dyDescent="0.25">
      <c r="A374" t="s">
        <v>765</v>
      </c>
      <c r="B374" t="s">
        <v>829</v>
      </c>
    </row>
    <row r="375" spans="1:4" ht="105" hidden="1" x14ac:dyDescent="0.25">
      <c r="A375" t="s">
        <v>787</v>
      </c>
      <c r="B375" s="11" t="s">
        <v>830</v>
      </c>
    </row>
    <row r="376" spans="1:4" hidden="1" x14ac:dyDescent="0.25">
      <c r="A376" t="s">
        <v>788</v>
      </c>
      <c r="B376" t="s">
        <v>831</v>
      </c>
    </row>
    <row r="377" spans="1:4" hidden="1" x14ac:dyDescent="0.25">
      <c r="A377" t="s">
        <v>789</v>
      </c>
      <c r="B377" t="s">
        <v>832</v>
      </c>
    </row>
    <row r="378" spans="1:4" hidden="1" x14ac:dyDescent="0.25">
      <c r="A378" t="s">
        <v>790</v>
      </c>
      <c r="B378" t="s">
        <v>833</v>
      </c>
    </row>
    <row r="379" spans="1:4" hidden="1" x14ac:dyDescent="0.25">
      <c r="A379" t="s">
        <v>791</v>
      </c>
      <c r="B379" t="s">
        <v>834</v>
      </c>
    </row>
    <row r="380" spans="1:4" ht="90" hidden="1" x14ac:dyDescent="0.25">
      <c r="A380" t="s">
        <v>792</v>
      </c>
      <c r="B380" s="11" t="s">
        <v>835</v>
      </c>
    </row>
    <row r="381" spans="1:4" hidden="1" x14ac:dyDescent="0.25">
      <c r="A381" t="s">
        <v>793</v>
      </c>
      <c r="B381" t="s">
        <v>836</v>
      </c>
    </row>
    <row r="382" spans="1:4" hidden="1" x14ac:dyDescent="0.25">
      <c r="A382" t="s">
        <v>786</v>
      </c>
    </row>
    <row r="383" spans="1:4" hidden="1" x14ac:dyDescent="0.25">
      <c r="A383" t="s">
        <v>786</v>
      </c>
    </row>
    <row r="384" spans="1:4" hidden="1" x14ac:dyDescent="0.25">
      <c r="A384" t="s">
        <v>506</v>
      </c>
      <c r="B384" t="s">
        <v>808</v>
      </c>
      <c r="C384" t="s">
        <v>507</v>
      </c>
      <c r="D384" s="3" t="str">
        <f t="shared" ref="D384" si="11">"[`" &amp; A384 &amp; "`,``,``,``,``, ``,`"  &amp; B384 &amp; "`, `" &amp; C384 &amp; "`]" &amp; IF(C385&lt;&gt;"",",","")</f>
        <v>[`What is a Database Model and why is it important?`,``,``,``,``, ``,`&lt;p class='space'&gt;A data model is a relatively simple representation, usually graphical, of more complex real-world data structures. &lt;p class='space'&gt;a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385" spans="3:4" hidden="1" x14ac:dyDescent="0.25">
      <c r="C385" t="s">
        <v>507</v>
      </c>
      <c r="D385" s="3" t="str">
        <f t="shared" ref="D385:D430" si="12">"[`" &amp; A385 &amp; "`,``,``,``,``, ``,`"  &amp; B385 &amp; "`, `" &amp; C385 &amp; "`]" &amp; IF(C386&lt;&gt;"",",","")</f>
        <v>[``,``,``,``,``, ``,``, `IS380-ch02`],</v>
      </c>
    </row>
    <row r="386" spans="3:4" hidden="1" x14ac:dyDescent="0.25">
      <c r="C386" t="s">
        <v>507</v>
      </c>
      <c r="D386" s="3" t="str">
        <f t="shared" si="12"/>
        <v>[``,``,``,``,``, ``,``, `IS380-ch02`],</v>
      </c>
    </row>
    <row r="387" spans="3:4" hidden="1" x14ac:dyDescent="0.25">
      <c r="C387" t="s">
        <v>507</v>
      </c>
      <c r="D387" s="3" t="str">
        <f t="shared" si="12"/>
        <v>[``,``,``,``,``, ``,``, `IS380-ch02`],</v>
      </c>
    </row>
    <row r="388" spans="3:4" hidden="1" x14ac:dyDescent="0.25">
      <c r="C388" t="s">
        <v>507</v>
      </c>
      <c r="D388" s="3" t="str">
        <f t="shared" si="12"/>
        <v>[``,``,``,``,``, ``,``, `IS380-ch02`],</v>
      </c>
    </row>
    <row r="389" spans="3:4" hidden="1" x14ac:dyDescent="0.25">
      <c r="C389" t="s">
        <v>507</v>
      </c>
      <c r="D389" s="3" t="str">
        <f t="shared" si="12"/>
        <v>[``,``,``,``,``, ``,``, `IS380-ch02`],</v>
      </c>
    </row>
    <row r="390" spans="3:4" hidden="1" x14ac:dyDescent="0.25">
      <c r="C390" t="s">
        <v>507</v>
      </c>
      <c r="D390" s="3" t="str">
        <f t="shared" si="12"/>
        <v>[``,``,``,``,``, ``,``, `IS380-ch02`],</v>
      </c>
    </row>
    <row r="391" spans="3:4" hidden="1" x14ac:dyDescent="0.25">
      <c r="C391" t="s">
        <v>507</v>
      </c>
      <c r="D391" s="3" t="str">
        <f t="shared" si="12"/>
        <v>[``,``,``,``,``, ``,``, `IS380-ch02`],</v>
      </c>
    </row>
    <row r="392" spans="3:4" hidden="1" x14ac:dyDescent="0.25">
      <c r="C392" t="s">
        <v>507</v>
      </c>
      <c r="D392" s="3" t="str">
        <f t="shared" si="12"/>
        <v>[``,``,``,``,``, ``,``, `IS380-ch02`],</v>
      </c>
    </row>
    <row r="393" spans="3:4" hidden="1" x14ac:dyDescent="0.25">
      <c r="C393" t="s">
        <v>507</v>
      </c>
      <c r="D393" s="3" t="str">
        <f t="shared" si="12"/>
        <v>[``,``,``,``,``, ``,``, `IS380-ch02`],</v>
      </c>
    </row>
    <row r="394" spans="3:4" hidden="1" x14ac:dyDescent="0.25">
      <c r="C394" t="s">
        <v>507</v>
      </c>
      <c r="D394" s="3" t="str">
        <f t="shared" si="12"/>
        <v>[``,``,``,``,``, ``,``, `IS380-ch02`],</v>
      </c>
    </row>
    <row r="395" spans="3:4" hidden="1" x14ac:dyDescent="0.25">
      <c r="C395" t="s">
        <v>507</v>
      </c>
      <c r="D395" s="3" t="str">
        <f t="shared" si="12"/>
        <v>[``,``,``,``,``, ``,``, `IS380-ch02`],</v>
      </c>
    </row>
    <row r="396" spans="3:4" hidden="1" x14ac:dyDescent="0.25">
      <c r="C396" t="s">
        <v>507</v>
      </c>
      <c r="D396" s="3" t="str">
        <f t="shared" si="12"/>
        <v>[``,``,``,``,``, ``,``, `IS380-ch02`],</v>
      </c>
    </row>
    <row r="397" spans="3:4" hidden="1" x14ac:dyDescent="0.25">
      <c r="C397" t="s">
        <v>507</v>
      </c>
      <c r="D397" s="3" t="str">
        <f t="shared" si="12"/>
        <v>[``,``,``,``,``, ``,``, `IS380-ch02`],</v>
      </c>
    </row>
    <row r="398" spans="3:4" hidden="1" x14ac:dyDescent="0.25">
      <c r="C398" t="s">
        <v>507</v>
      </c>
      <c r="D398" s="3" t="str">
        <f t="shared" si="12"/>
        <v>[``,``,``,``,``, ``,``, `IS380-ch02`],</v>
      </c>
    </row>
    <row r="399" spans="3:4" hidden="1" x14ac:dyDescent="0.25">
      <c r="C399" t="s">
        <v>507</v>
      </c>
      <c r="D399" s="3" t="str">
        <f t="shared" si="12"/>
        <v>[``,``,``,``,``, ``,``, `IS380-ch02`],</v>
      </c>
    </row>
    <row r="400" spans="3:4" hidden="1" x14ac:dyDescent="0.25">
      <c r="C400" t="s">
        <v>507</v>
      </c>
      <c r="D400" s="3" t="str">
        <f t="shared" si="12"/>
        <v>[``,``,``,``,``, ``,``, `IS380-ch02`],</v>
      </c>
    </row>
    <row r="401" spans="1:4" hidden="1" x14ac:dyDescent="0.25">
      <c r="C401" t="s">
        <v>507</v>
      </c>
      <c r="D401" s="3" t="str">
        <f t="shared" si="12"/>
        <v>[``,``,``,``,``, ``,``, `IS380-ch02`],</v>
      </c>
    </row>
    <row r="402" spans="1:4" hidden="1" x14ac:dyDescent="0.25">
      <c r="C402" t="s">
        <v>507</v>
      </c>
      <c r="D402" s="3" t="str">
        <f t="shared" si="12"/>
        <v>[``,``,``,``,``, ``,``, `IS380-ch02`],</v>
      </c>
    </row>
    <row r="403" spans="1:4" hidden="1" x14ac:dyDescent="0.25">
      <c r="C403" t="s">
        <v>507</v>
      </c>
      <c r="D403" s="3" t="str">
        <f t="shared" si="12"/>
        <v>[``,``,``,``,``, ``,``, `IS380-ch02`],</v>
      </c>
    </row>
    <row r="404" spans="1:4" hidden="1" x14ac:dyDescent="0.25">
      <c r="A404" t="s">
        <v>797</v>
      </c>
      <c r="B404" t="s">
        <v>837</v>
      </c>
      <c r="C404" s="3" t="s">
        <v>507</v>
      </c>
      <c r="D404" s="3" t="str">
        <f t="shared" si="12"/>
        <v>[`What is a class? – `,``,``,``,``, ``,`&lt;p class='space'&gt;A class is a template for an object.`, `IS380-ch02`],</v>
      </c>
    </row>
    <row r="405" spans="1:4" hidden="1" x14ac:dyDescent="0.25">
      <c r="A405" t="s">
        <v>798</v>
      </c>
      <c r="B405" t="s">
        <v>838</v>
      </c>
      <c r="C405" s="3" t="s">
        <v>507</v>
      </c>
      <c r="D405" s="3" t="str">
        <f t="shared" si="12"/>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406" spans="1:4" hidden="1" x14ac:dyDescent="0.25">
      <c r="A406" t="s">
        <v>799</v>
      </c>
      <c r="B406" t="s">
        <v>839</v>
      </c>
      <c r="C406" s="3" t="s">
        <v>507</v>
      </c>
      <c r="D406" s="3" t="str">
        <f t="shared" si="12"/>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407" spans="1:4" hidden="1" x14ac:dyDescent="0.25">
      <c r="A407" t="s">
        <v>800</v>
      </c>
      <c r="B407" t="s">
        <v>840</v>
      </c>
      <c r="C407" s="3" t="s">
        <v>507</v>
      </c>
      <c r="D407" s="3" t="str">
        <f t="shared" si="12"/>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408" spans="1:4" hidden="1" x14ac:dyDescent="0.25">
      <c r="A408" t="s">
        <v>801</v>
      </c>
      <c r="B408" t="s">
        <v>841</v>
      </c>
      <c r="C408" s="3" t="s">
        <v>507</v>
      </c>
      <c r="D408" s="3" t="str">
        <f t="shared" si="12"/>
        <v>[`NoSQL - Why did they emerge?`,``,``,``,``, ``,`&lt;p class='space'&gt;A significant amount of the Data is unstructured today – Big Data. NoSQL databases are able to handle this type of data.`, `IS380-ch02`],</v>
      </c>
    </row>
    <row r="409" spans="1:4" hidden="1" x14ac:dyDescent="0.25">
      <c r="A409" t="s">
        <v>802</v>
      </c>
      <c r="B409" t="s">
        <v>842</v>
      </c>
      <c r="C409" s="3" t="s">
        <v>507</v>
      </c>
      <c r="D409" s="3" t="str">
        <f t="shared" si="12"/>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410" spans="1:4" hidden="1" x14ac:dyDescent="0.25">
      <c r="A410" t="s">
        <v>803</v>
      </c>
      <c r="B410" t="s">
        <v>843</v>
      </c>
      <c r="C410" s="3" t="s">
        <v>507</v>
      </c>
      <c r="D410" s="3" t="str">
        <f t="shared" si="12"/>
        <v>[`NoSQL - Is the priority performance or consistency?`,``,``,``,``, ``,`&lt;p class='space'&gt;They are geared for performance.`, `IS380-ch02`],</v>
      </c>
    </row>
    <row r="411" spans="1:4" hidden="1" x14ac:dyDescent="0.25">
      <c r="A411" t="s">
        <v>804</v>
      </c>
      <c r="B411" t="s">
        <v>844</v>
      </c>
      <c r="C411" s="3" t="s">
        <v>507</v>
      </c>
      <c r="D411" s="3" t="str">
        <f t="shared" si="12"/>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412" spans="1:4" hidden="1" x14ac:dyDescent="0.25">
      <c r="C412" s="3" t="s">
        <v>507</v>
      </c>
      <c r="D412" s="3" t="str">
        <f t="shared" si="12"/>
        <v>[``,``,``,``,``, ``,``, `IS380-ch02`],</v>
      </c>
    </row>
    <row r="413" spans="1:4" hidden="1" x14ac:dyDescent="0.25">
      <c r="C413" s="3" t="s">
        <v>507</v>
      </c>
      <c r="D413" s="3" t="str">
        <f t="shared" si="12"/>
        <v>[``,``,``,``,``, ``,``, `IS380-ch02`],</v>
      </c>
    </row>
    <row r="414" spans="1:4" hidden="1" x14ac:dyDescent="0.25">
      <c r="C414" s="3" t="s">
        <v>507</v>
      </c>
      <c r="D414" s="3" t="str">
        <f t="shared" si="12"/>
        <v>[``,``,``,``,``, ``,``, `IS380-ch02`],</v>
      </c>
    </row>
    <row r="415" spans="1:4" hidden="1" x14ac:dyDescent="0.25">
      <c r="C415" s="3" t="s">
        <v>507</v>
      </c>
      <c r="D415" s="3" t="str">
        <f t="shared" si="12"/>
        <v>[``,``,``,``,``, ``,``, `IS380-ch02`],</v>
      </c>
    </row>
    <row r="416" spans="1:4" hidden="1" x14ac:dyDescent="0.25">
      <c r="C416" s="3" t="s">
        <v>507</v>
      </c>
      <c r="D416" s="3" t="str">
        <f t="shared" si="12"/>
        <v>[``,``,``,``,``, ``,``, `IS380-ch02`],</v>
      </c>
    </row>
    <row r="417" spans="1:4" hidden="1" x14ac:dyDescent="0.25">
      <c r="C417" s="3" t="s">
        <v>507</v>
      </c>
      <c r="D417" s="3" t="str">
        <f t="shared" si="12"/>
        <v>[``,``,``,``,``, ``,``, `IS380-ch02`],</v>
      </c>
    </row>
    <row r="418" spans="1:4" hidden="1" x14ac:dyDescent="0.25">
      <c r="C418" s="3" t="s">
        <v>507</v>
      </c>
      <c r="D418" s="3" t="str">
        <f t="shared" si="12"/>
        <v>[``,``,``,``,``, ``,``, `IS380-ch02`],</v>
      </c>
    </row>
    <row r="419" spans="1:4" hidden="1" x14ac:dyDescent="0.25">
      <c r="C419" s="3" t="s">
        <v>507</v>
      </c>
      <c r="D419" s="3" t="str">
        <f t="shared" si="12"/>
        <v>[``,``,``,``,``, ``,``, `IS380-ch02`],</v>
      </c>
    </row>
    <row r="420" spans="1:4" hidden="1" x14ac:dyDescent="0.25">
      <c r="C420" s="3" t="s">
        <v>507</v>
      </c>
      <c r="D420" s="3" t="str">
        <f t="shared" si="12"/>
        <v>[``,``,``,``,``, ``,``, `IS380-ch02`],</v>
      </c>
    </row>
    <row r="421" spans="1:4" hidden="1" x14ac:dyDescent="0.25">
      <c r="C421" s="3" t="s">
        <v>507</v>
      </c>
      <c r="D421" s="3" t="str">
        <f t="shared" si="12"/>
        <v>[``,``,``,``,``, ``,``, `IS380-ch02`],</v>
      </c>
    </row>
    <row r="422" spans="1:4" hidden="1" x14ac:dyDescent="0.25">
      <c r="A422" t="s">
        <v>805</v>
      </c>
      <c r="B422" t="s">
        <v>809</v>
      </c>
      <c r="C422" t="s">
        <v>507</v>
      </c>
      <c r="D422" s="3" t="str">
        <f t="shared" si="12"/>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423" spans="1:4" hidden="1" x14ac:dyDescent="0.25">
      <c r="A423" t="s">
        <v>806</v>
      </c>
      <c r="B423" t="s">
        <v>810</v>
      </c>
      <c r="C423" t="s">
        <v>507</v>
      </c>
      <c r="D423" s="3" t="str">
        <f t="shared" si="12"/>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424" spans="1:4" hidden="1" x14ac:dyDescent="0.25">
      <c r="A424" t="s">
        <v>807</v>
      </c>
      <c r="B424" t="s">
        <v>811</v>
      </c>
      <c r="C424" t="s">
        <v>507</v>
      </c>
      <c r="D424" s="3" t="str">
        <f t="shared" si="12"/>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425" spans="1:4" hidden="1" x14ac:dyDescent="0.25">
      <c r="A425" t="s">
        <v>812</v>
      </c>
      <c r="B425" t="s">
        <v>845</v>
      </c>
      <c r="C425" s="3" t="s">
        <v>497</v>
      </c>
      <c r="D425" s="3" t="str">
        <f t="shared" si="12"/>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426" spans="1:4" ht="15.75" hidden="1" x14ac:dyDescent="0.25">
      <c r="A426" t="s">
        <v>813</v>
      </c>
      <c r="B426" s="10" t="s">
        <v>846</v>
      </c>
      <c r="C426" s="3" t="s">
        <v>567</v>
      </c>
      <c r="D426" s="3" t="str">
        <f t="shared" ref="D426" si="13">"[`" &amp; A426 &amp; "`,``,``,``,``, ``,`"  &amp; B426 &amp; "`, `" &amp; C426 &amp; "`]" &amp; IF(C427&lt;&gt;"",",","")</f>
        <v>[`What is first step in database design?`,``,``,``,``, ``,`&lt;p class='space'&gt;Data modeling is the first step in the database design journey`, `IS380-ch04`],</v>
      </c>
    </row>
    <row r="427" spans="1:4" hidden="1" x14ac:dyDescent="0.25">
      <c r="A427" t="s">
        <v>814</v>
      </c>
      <c r="B427" t="s">
        <v>847</v>
      </c>
      <c r="C427" s="3" t="s">
        <v>567</v>
      </c>
      <c r="D427" s="3" t="str">
        <f t="shared" ref="D427:D448" si="14">"[`" &amp; A427 &amp; "`,``,``,``,``, ``,`"  &amp; B427 &amp; "`, `" &amp; C427 &amp; "`]" &amp; IF(C428&lt;&gt;"",",","")</f>
        <v>[`Conceptual vs relational models`,``,``,``,``, ``,`&lt;p class='space'&gt;Conceptual models are used in the conceptual design of databases, while&lt;p class='space'&gt;relational models are used in the logical design of databases.`, `IS380-ch04`],</v>
      </c>
    </row>
    <row r="428" spans="1:4" hidden="1" x14ac:dyDescent="0.25">
      <c r="A428" t="s">
        <v>815</v>
      </c>
      <c r="B428" t="s">
        <v>848</v>
      </c>
      <c r="C428" s="3" t="s">
        <v>567</v>
      </c>
      <c r="D428" s="3" t="str">
        <f t="shared" si="14"/>
        <v>[`Entity vs entity instance`,``,``,``,``, ``,`&lt;p class='space'&gt;an entity in the ERM corresponds to a table, not to a row, in the relational environment. &lt;p class='space'&gt;The ERM refers to a table row as an entity instance or entity occurrence.`, `IS380-ch04`],</v>
      </c>
    </row>
    <row r="429" spans="1:4" hidden="1" x14ac:dyDescent="0.25">
      <c r="C429" s="3" t="s">
        <v>567</v>
      </c>
      <c r="D429" s="3" t="str">
        <f t="shared" si="14"/>
        <v>[``,``,``,``,``, ``,``, `IS380-ch04`],</v>
      </c>
    </row>
    <row r="430" spans="1:4" hidden="1" x14ac:dyDescent="0.25">
      <c r="C430" s="3" t="s">
        <v>567</v>
      </c>
      <c r="D430" s="3" t="str">
        <f t="shared" si="14"/>
        <v>[``,``,``,``,``, ``,``, `IS380-ch04`],</v>
      </c>
    </row>
    <row r="431" spans="1:4" hidden="1" x14ac:dyDescent="0.25">
      <c r="C431" s="3" t="s">
        <v>567</v>
      </c>
      <c r="D431" s="3" t="str">
        <f t="shared" si="14"/>
        <v>[``,``,``,``,``, ``,``, `IS380-ch04`],</v>
      </c>
    </row>
    <row r="432" spans="1:4" hidden="1" x14ac:dyDescent="0.25">
      <c r="C432" s="3" t="s">
        <v>567</v>
      </c>
      <c r="D432" s="3" t="str">
        <f t="shared" si="14"/>
        <v>[``,``,``,``,``, ``,``, `IS380-ch04`],</v>
      </c>
    </row>
    <row r="433" spans="1:4" hidden="1" x14ac:dyDescent="0.25">
      <c r="C433" s="3" t="s">
        <v>567</v>
      </c>
      <c r="D433" s="3" t="str">
        <f t="shared" si="14"/>
        <v>[``,``,``,``,``, ``,``, `IS380-ch04`],</v>
      </c>
    </row>
    <row r="434" spans="1:4" hidden="1" x14ac:dyDescent="0.25">
      <c r="C434" s="3" t="s">
        <v>567</v>
      </c>
      <c r="D434" s="3" t="str">
        <f t="shared" si="14"/>
        <v>[``,``,``,``,``, ``,``, `IS380-ch04`],</v>
      </c>
    </row>
    <row r="435" spans="1:4" hidden="1" x14ac:dyDescent="0.25">
      <c r="C435" s="3" t="s">
        <v>567</v>
      </c>
      <c r="D435" s="3" t="str">
        <f t="shared" si="14"/>
        <v>[``,``,``,``,``, ``,``, `IS380-ch04`],</v>
      </c>
    </row>
    <row r="436" spans="1:4" hidden="1" x14ac:dyDescent="0.25">
      <c r="C436" s="3" t="s">
        <v>567</v>
      </c>
      <c r="D436" s="3" t="str">
        <f t="shared" si="14"/>
        <v>[``,``,``,``,``, ``,``, `IS380-ch04`],</v>
      </c>
    </row>
    <row r="437" spans="1:4" hidden="1" x14ac:dyDescent="0.25">
      <c r="C437" s="3" t="s">
        <v>567</v>
      </c>
      <c r="D437" s="3" t="str">
        <f t="shared" si="14"/>
        <v>[``,``,``,``,``, ``,``, `IS380-ch04`],</v>
      </c>
    </row>
    <row r="438" spans="1:4" ht="45" hidden="1" x14ac:dyDescent="0.25">
      <c r="A438" t="s">
        <v>816</v>
      </c>
      <c r="B438" s="11" t="s">
        <v>849</v>
      </c>
      <c r="C438" t="s">
        <v>567</v>
      </c>
      <c r="D438" s="3" t="str">
        <f t="shared" si="14"/>
        <v>[`What is a schema:`,``,``,``,``, ``,`&lt;p class='space'&gt;A logical grouping of database objects, such as tables, indexes, views, and queries, that are related to each other. Usually, a schema belongs to a single user or application.  `, `IS380-ch04`],</v>
      </c>
    </row>
    <row r="439" spans="1:4" hidden="1" x14ac:dyDescent="0.25">
      <c r="A439" t="s">
        <v>817</v>
      </c>
      <c r="B439" t="s">
        <v>850</v>
      </c>
      <c r="C439" t="s">
        <v>567</v>
      </c>
      <c r="D439" s="3" t="str">
        <f t="shared" si="14"/>
        <v>[`Purpose of ERD:`,``,``,``,``, ``,`&lt;p class='space'&gt;the ERD is used for communication between designers and end users.`, `IS380-ch04`],</v>
      </c>
    </row>
    <row r="440" spans="1:4" hidden="1" x14ac:dyDescent="0.25">
      <c r="C440" t="s">
        <v>567</v>
      </c>
      <c r="D440" s="3" t="str">
        <f t="shared" ref="D440:D448" si="15">"[`" &amp; A440 &amp; "`,``,``,``,``, ``,`"  &amp; B440 &amp; "`, `" &amp; C440 &amp; "`]" &amp; IF(C441&lt;&gt;"",",","")</f>
        <v>[``,``,``,``,``, ``,``, `IS380-ch04`],</v>
      </c>
    </row>
    <row r="441" spans="1:4" hidden="1" x14ac:dyDescent="0.25">
      <c r="C441" t="s">
        <v>567</v>
      </c>
      <c r="D441" s="3" t="str">
        <f t="shared" si="15"/>
        <v>[``,``,``,``,``, ``,``, `IS380-ch04`],</v>
      </c>
    </row>
    <row r="442" spans="1:4" hidden="1" x14ac:dyDescent="0.25">
      <c r="C442" t="s">
        <v>567</v>
      </c>
      <c r="D442" s="3" t="str">
        <f t="shared" si="15"/>
        <v>[``,``,``,``,``, ``,``, `IS380-ch04`],</v>
      </c>
    </row>
    <row r="443" spans="1:4" hidden="1" x14ac:dyDescent="0.25">
      <c r="C443" t="s">
        <v>567</v>
      </c>
      <c r="D443" s="3" t="str">
        <f t="shared" si="15"/>
        <v>[``,``,``,``,``, ``,``, `IS380-ch04`],</v>
      </c>
    </row>
    <row r="444" spans="1:4" hidden="1" x14ac:dyDescent="0.25">
      <c r="C444" t="s">
        <v>567</v>
      </c>
      <c r="D444" s="3" t="str">
        <f t="shared" si="15"/>
        <v>[``,``,``,``,``, ``,``, `IS380-ch04`],</v>
      </c>
    </row>
    <row r="445" spans="1:4" hidden="1" x14ac:dyDescent="0.25">
      <c r="C445" t="s">
        <v>567</v>
      </c>
      <c r="D445" s="3" t="str">
        <f t="shared" si="15"/>
        <v>[``,``,``,``,``, ``,``, `IS380-ch04`],</v>
      </c>
    </row>
    <row r="446" spans="1:4" hidden="1" x14ac:dyDescent="0.25">
      <c r="C446" t="s">
        <v>567</v>
      </c>
      <c r="D446" s="3" t="str">
        <f t="shared" si="15"/>
        <v>[``,``,``,``,``, ``,``, `IS380-ch04`],</v>
      </c>
    </row>
    <row r="447" spans="1:4" hidden="1" x14ac:dyDescent="0.25">
      <c r="C447" t="s">
        <v>567</v>
      </c>
      <c r="D447" s="3" t="str">
        <f t="shared" si="15"/>
        <v>[``,``,``,``,``, ``,``, `IS380-ch04`],</v>
      </c>
    </row>
    <row r="448" spans="1:4" hidden="1" x14ac:dyDescent="0.25">
      <c r="C448" t="s">
        <v>567</v>
      </c>
      <c r="D448" s="3" t="str">
        <f t="shared" si="15"/>
        <v>[``,``,``,``,``, ``,``, `IS380-ch04`]</v>
      </c>
    </row>
  </sheetData>
  <autoFilter ref="A1:D448" xr:uid="{609772C0-A67C-467C-8C97-7964030E5478}">
    <filterColumn colId="0">
      <filters>
        <filter val="What is a weak entity (what two conditions must be met)?"/>
        <filter val="What is a weak/non-identifying relationship (how is it depicted in a Crow’s Foot ERD)?"/>
      </filters>
    </filterColumn>
    <filterColumn colId="2">
      <filters>
        <filter val="IS380-ch01"/>
        <filter val="IS380-ch02"/>
        <filter val="IS380-ch03"/>
        <filter val="IS380-ch04"/>
        <filter val="IS380-ch06"/>
        <filter val="IS380-CH7"/>
      </filters>
    </filterColumn>
    <sortState ref="A199:D373">
      <sortCondition ref="C1:C374"/>
    </sortState>
  </autoFilter>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44</v>
      </c>
      <c r="B1" s="3" t="s">
        <v>654</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43</v>
      </c>
      <c r="B2" s="3" t="s">
        <v>655</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46</v>
      </c>
      <c r="B3" s="3" t="s">
        <v>656</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48</v>
      </c>
      <c r="B4" s="5" t="s">
        <v>657</v>
      </c>
      <c r="C4" s="3" t="s">
        <v>71</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49</v>
      </c>
      <c r="B5" s="5" t="s">
        <v>658</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50</v>
      </c>
      <c r="B6" s="3" t="s">
        <v>659</v>
      </c>
      <c r="C6" s="3" t="s">
        <v>71</v>
      </c>
      <c r="D6" s="3" t="str">
        <f t="shared" si="0"/>
        <v>[`4. What are some disadvantages of using a Database System?`,``,``,``,``, ``,`&lt;p class='space'&gt;Cost, need to hire technical staff to design, manage, and operate the DBMS system.`, `IS380`],</v>
      </c>
    </row>
    <row r="7" spans="1:4" ht="180" x14ac:dyDescent="0.25">
      <c r="A7" s="3" t="s">
        <v>52</v>
      </c>
      <c r="B7" s="5" t="s">
        <v>660</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54</v>
      </c>
      <c r="B8" s="5" t="s">
        <v>661</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61</v>
      </c>
      <c r="B12" s="7" t="s">
        <v>60</v>
      </c>
      <c r="C12" s="3" t="s">
        <v>71</v>
      </c>
      <c r="D12" s="3" t="str">
        <f t="shared" si="0"/>
        <v>[`Field`,``,``,``,``, ``,`a. Field - A character or group of characters (alphabetic or numeric) that has a specific meaning. A field is used to define and store data`, `IS380`],</v>
      </c>
    </row>
    <row r="13" spans="1:4" x14ac:dyDescent="0.25">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64</v>
      </c>
      <c r="B14" s="3" t="s">
        <v>63</v>
      </c>
      <c r="C14" s="3" t="s">
        <v>71</v>
      </c>
      <c r="D14" s="3" t="str">
        <f t="shared" si="0"/>
        <v>[`file`,``,``,``,``, ``,`c. File - A collection of related records. For example, a file might contain data about the students currently enrolled at gigantic University.`, `IS380`],</v>
      </c>
    </row>
    <row r="15" spans="1:4" ht="60" x14ac:dyDescent="0.25">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69</v>
      </c>
      <c r="B16" s="3" t="s">
        <v>70</v>
      </c>
      <c r="C16" s="3" t="s">
        <v>71</v>
      </c>
      <c r="D16" s="3" t="str">
        <f t="shared" si="0"/>
        <v>[`To be considered a Minimally Relational Database, which relational operators must the database support? `,``,``,``,``, ``,`Select, Join, project, union, intersect, difference, product `, `IS380`],</v>
      </c>
    </row>
    <row r="17" spans="1:4" x14ac:dyDescent="0.25">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x14ac:dyDescent="0.25">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663</v>
      </c>
      <c r="B27" s="3" t="s">
        <v>684</v>
      </c>
      <c r="C27" s="3" t="s">
        <v>662</v>
      </c>
      <c r="D27" s="3" t="str">
        <f t="shared" si="0"/>
        <v>[`DML`,``,``,``,``, ``,`&lt;p class='space'&gt;data manipulation language (DML).&lt;p class='space'&gt;SQL is a DML- it includes commands to insert, update, delete data within the database tables. `, `IS380-CH7`],</v>
      </c>
    </row>
    <row r="28" spans="1:4" x14ac:dyDescent="0.25">
      <c r="A28" s="3" t="s">
        <v>664</v>
      </c>
      <c r="B28" s="3" t="s">
        <v>685</v>
      </c>
      <c r="C28" s="3" t="s">
        <v>662</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665</v>
      </c>
      <c r="B29" s="3" t="s">
        <v>686</v>
      </c>
      <c r="C29" s="3" t="s">
        <v>662</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666</v>
      </c>
      <c r="B30" s="5" t="s">
        <v>687</v>
      </c>
      <c r="C30" s="3" t="s">
        <v>662</v>
      </c>
      <c r="D30" s="3" t="str">
        <f t="shared" si="0"/>
        <v>[`TCL`,``,``,``,``, ``,`&lt;p class='space'&gt;Transaction Control Language (TCL) - COMMIT, ROLLBACK, SAVEPOINT `, `IS380-CH7`],</v>
      </c>
    </row>
    <row r="31" spans="1:4" ht="30" x14ac:dyDescent="0.25">
      <c r="A31" s="3" t="s">
        <v>667</v>
      </c>
      <c r="B31" s="5" t="s">
        <v>688</v>
      </c>
      <c r="C31" s="3" t="s">
        <v>662</v>
      </c>
      <c r="D31" s="3" t="str">
        <f t="shared" si="0"/>
        <v>[`DCL`,``,``,``,``, ``,`&lt;p class='space'&gt;Data Control Language (DCL) - GRANT, REVOKE -&lt;p class='space'&gt;used to control access to database objects. `, `IS380-CH7`],</v>
      </c>
    </row>
    <row r="32" spans="1:4" x14ac:dyDescent="0.25">
      <c r="A32" s="3" t="s">
        <v>668</v>
      </c>
      <c r="B32" s="3" t="s">
        <v>689</v>
      </c>
      <c r="C32" s="3" t="s">
        <v>662</v>
      </c>
      <c r="D32" s="3" t="str">
        <f t="shared" si="0"/>
        <v>[`SQL`,``,``,``,``, ``,`&lt;p class='space'&gt;Structured Query Language&lt;p class='space'&gt;Its basic command set has a vocabulary of fewer than 100 words.&lt;p class='space'&gt;ANSI SQL standard`, `IS380-CH7`],</v>
      </c>
    </row>
    <row r="33" spans="1:4" x14ac:dyDescent="0.25">
      <c r="A33" s="3" t="s">
        <v>669</v>
      </c>
      <c r="B33" s="3" t="s">
        <v>690</v>
      </c>
      <c r="C33" s="3" t="s">
        <v>662</v>
      </c>
      <c r="D33" s="3" t="str">
        <f t="shared" si="0"/>
        <v>[`Three fundament types of data`,``,``,``,``, ``,`&lt;p class='space'&gt;character data, &lt;p class='space'&gt;numeric data,&lt;p class='space'&gt;date data.`, `IS380-CH7`],</v>
      </c>
    </row>
    <row r="34" spans="1:4" ht="60" x14ac:dyDescent="0.25">
      <c r="A34" s="3" t="s">
        <v>670</v>
      </c>
      <c r="B34" s="5" t="s">
        <v>691</v>
      </c>
      <c r="C34" s="3" t="s">
        <v>662</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671</v>
      </c>
      <c r="B35" s="5" t="s">
        <v>692</v>
      </c>
      <c r="C35" s="3" t="s">
        <v>662</v>
      </c>
      <c r="D35" s="3" t="str">
        <f t="shared" si="0"/>
        <v>[`A computed column`,``,``,``,``, ``,`&lt;p class='space'&gt;A computed column (also called a calculated column) represents a derived attribute,  `, `IS380-CH7`],</v>
      </c>
    </row>
    <row r="36" spans="1:4" x14ac:dyDescent="0.25">
      <c r="A36" s="3" t="s">
        <v>672</v>
      </c>
      <c r="B36" s="3" t="s">
        <v>693</v>
      </c>
      <c r="C36" s="3" t="s">
        <v>662</v>
      </c>
      <c r="D36" s="3" t="str">
        <f t="shared" si="0"/>
        <v>[`natural join`,``,``,``,``, ``,`&lt;p class='space'&gt;natural join returns all rows with matching values in the matching columns and eliminates duplicate columns.`, `IS380-CH7`],</v>
      </c>
    </row>
    <row r="37" spans="1:4" ht="105" x14ac:dyDescent="0.25">
      <c r="A37" s="3" t="s">
        <v>677</v>
      </c>
      <c r="B37" s="5" t="s">
        <v>694</v>
      </c>
      <c r="C37" s="3" t="s">
        <v>662</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673</v>
      </c>
      <c r="B38" s="10" t="s">
        <v>695</v>
      </c>
      <c r="C38" s="3" t="s">
        <v>662</v>
      </c>
      <c r="D38" s="3" t="str">
        <f t="shared" si="0"/>
        <v>[`cross join`,``,``,``,``, ``,`&lt;p class='space'&gt;cross join performs a relational product (also known as the Cartesian product) of two tables`, `IS380-CH7`],</v>
      </c>
    </row>
    <row r="39" spans="1:4" x14ac:dyDescent="0.25">
      <c r="A39" s="3" t="s">
        <v>674</v>
      </c>
      <c r="B39" s="5" t="s">
        <v>696</v>
      </c>
      <c r="C39" s="3" t="s">
        <v>662</v>
      </c>
      <c r="D39" s="3" t="str">
        <f t="shared" si="0"/>
        <v>[`recursive query `,``,``,``,``, ``,`&lt;p class='space'&gt;recursive query&lt;p class='space'&gt;A query that joins a table to itself. `, `IS380-CH7`],</v>
      </c>
    </row>
    <row r="40" spans="1:4" ht="30" x14ac:dyDescent="0.25">
      <c r="A40" s="3" t="s">
        <v>675</v>
      </c>
      <c r="B40" s="5" t="s">
        <v>697</v>
      </c>
      <c r="C40" s="3" t="s">
        <v>662</v>
      </c>
      <c r="D40" s="3" t="str">
        <f t="shared" si="0"/>
        <v>[`WHERE`,``,``,``,``, ``,`&lt;p class='space'&gt;where&lt;p class='space'&gt;A SQL clause that adds conditional restrictions to a SELECT statement that limit the rows returned by the query `, `IS380-CH7`],</v>
      </c>
    </row>
    <row r="41" spans="1:4" x14ac:dyDescent="0.25">
      <c r="A41" s="3" t="s">
        <v>676</v>
      </c>
      <c r="B41" s="3" t="s">
        <v>698</v>
      </c>
      <c r="C41" s="3" t="s">
        <v>662</v>
      </c>
      <c r="D41" s="3" t="str">
        <f t="shared" si="0"/>
        <v>[`boolean algebra`,``,``,``,``, ``,`&lt;p class='space'&gt;boolean algebra&lt;p class='space'&gt;is dedicated to the use of logical operators`, `IS380-CH7`],</v>
      </c>
    </row>
    <row r="42" spans="1:4" x14ac:dyDescent="0.25">
      <c r="A42" s="3" t="s">
        <v>678</v>
      </c>
      <c r="B42" s="3" t="s">
        <v>699</v>
      </c>
      <c r="C42" s="3" t="s">
        <v>662</v>
      </c>
      <c r="D42" s="3" t="str">
        <f t="shared" si="0"/>
        <v>[`The number of join conditions `,``,``,``,``, ``,`&lt;p class='space'&gt;is always equal to the number of tables being joined minus one.`, `IS380-CH7`],</v>
      </c>
    </row>
    <row r="43" spans="1:4" x14ac:dyDescent="0.25">
      <c r="A43" s="3" t="s">
        <v>679</v>
      </c>
      <c r="B43" s="3" t="s">
        <v>700</v>
      </c>
      <c r="C43" s="3" t="s">
        <v>662</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680</v>
      </c>
      <c r="B44" s="3" t="s">
        <v>701</v>
      </c>
      <c r="C44" s="3" t="s">
        <v>662</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681</v>
      </c>
      <c r="B45" s="3" t="s">
        <v>702</v>
      </c>
      <c r="C45" s="3" t="s">
        <v>662</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682</v>
      </c>
      <c r="B46" s="5" t="s">
        <v>703</v>
      </c>
      <c r="C46" s="3" t="s">
        <v>662</v>
      </c>
      <c r="D46" s="3" t="str">
        <f t="shared" si="0"/>
        <v>[`correlated subquery`,``,``,``,``, ``,`&lt;p class='space'&gt;correlated subquery A subquery that executes once for each row in the outer query.`, `IS380-CH7`],</v>
      </c>
    </row>
    <row r="47" spans="1:4" x14ac:dyDescent="0.25">
      <c r="A47" s="3" t="s">
        <v>683</v>
      </c>
      <c r="B47" s="3" t="s">
        <v>704</v>
      </c>
      <c r="C47" s="3" t="s">
        <v>662</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2019-10-21T17:49:29Z</dcterms:modified>
</cp:coreProperties>
</file>